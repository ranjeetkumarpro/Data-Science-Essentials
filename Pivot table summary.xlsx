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https://d.docs.live.net/97e3909ae560051e/Documents/"/>
    </mc:Choice>
  </mc:AlternateContent>
  <xr:revisionPtr revIDLastSave="11" documentId="8_{2D585467-A7DE-4114-9F31-E461B0D22BB0}" xr6:coauthVersionLast="47" xr6:coauthVersionMax="47" xr10:uidLastSave="{3ABE2479-149A-480C-A8A9-E8FB27C3EFA5}"/>
  <bookViews>
    <workbookView xWindow="-108" yWindow="-108" windowWidth="23256" windowHeight="12456" xr2:uid="{CAD94433-AE60-4CC5-9B7E-697CC1056B77}"/>
  </bookViews>
  <sheets>
    <sheet name="Sheet1" sheetId="5" r:id="rId1"/>
    <sheet name="All Sales Final" sheetId="1" r:id="rId2"/>
    <sheet name="All Sales" sheetId="4" r:id="rId3"/>
  </sheets>
  <definedNames>
    <definedName name="Slicer_Salesman">#N/A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27" i="1" l="1"/>
  <c r="H27" i="1" s="1"/>
  <c r="G26" i="1"/>
  <c r="H26" i="1" s="1"/>
  <c r="G25" i="1"/>
  <c r="H25" i="1" s="1"/>
  <c r="H24" i="1"/>
  <c r="G24" i="1"/>
  <c r="H23" i="1"/>
  <c r="G23" i="1"/>
  <c r="G22" i="1"/>
  <c r="H22" i="1" s="1"/>
  <c r="G21" i="1"/>
  <c r="H21" i="1" s="1"/>
  <c r="H20" i="1"/>
  <c r="G20" i="1"/>
  <c r="H19" i="1"/>
  <c r="G19" i="1"/>
  <c r="G18" i="1"/>
  <c r="H18" i="1" s="1"/>
  <c r="G17" i="1"/>
  <c r="H17" i="1" s="1"/>
  <c r="H16" i="1"/>
  <c r="G16" i="1"/>
  <c r="H15" i="1"/>
  <c r="G15" i="1"/>
  <c r="G14" i="1"/>
  <c r="H14" i="1" s="1"/>
  <c r="G13" i="1"/>
  <c r="H13" i="1" s="1"/>
  <c r="H12" i="1"/>
  <c r="G12" i="1"/>
  <c r="H11" i="1"/>
  <c r="G11" i="1"/>
  <c r="G10" i="1"/>
  <c r="H10" i="1" s="1"/>
  <c r="G9" i="1"/>
  <c r="H9" i="1" s="1"/>
  <c r="H8" i="1"/>
  <c r="G8" i="1"/>
  <c r="H7" i="1"/>
  <c r="G7" i="1"/>
  <c r="G6" i="1"/>
  <c r="H6" i="1" s="1"/>
  <c r="G5" i="1"/>
  <c r="G2" i="1" s="1"/>
  <c r="H4" i="1"/>
  <c r="G4" i="1"/>
  <c r="F2" i="1"/>
  <c r="E2" i="1"/>
  <c r="G26" i="4"/>
  <c r="H26" i="4" s="1"/>
  <c r="G25" i="4"/>
  <c r="H25" i="4" s="1"/>
  <c r="G24" i="4"/>
  <c r="H24" i="4" s="1"/>
  <c r="G23" i="4"/>
  <c r="H23" i="4" s="1"/>
  <c r="G22" i="4"/>
  <c r="H22" i="4" s="1"/>
  <c r="G21" i="4"/>
  <c r="H21" i="4" s="1"/>
  <c r="G20" i="4"/>
  <c r="H20" i="4" s="1"/>
  <c r="G19" i="4"/>
  <c r="H19" i="4" s="1"/>
  <c r="G18" i="4"/>
  <c r="H18" i="4" s="1"/>
  <c r="G17" i="4"/>
  <c r="H17" i="4" s="1"/>
  <c r="G16" i="4"/>
  <c r="H16" i="4" s="1"/>
  <c r="G15" i="4"/>
  <c r="H15" i="4" s="1"/>
  <c r="G14" i="4"/>
  <c r="H14" i="4" s="1"/>
  <c r="G13" i="4"/>
  <c r="H13" i="4" s="1"/>
  <c r="G12" i="4"/>
  <c r="H12" i="4" s="1"/>
  <c r="G11" i="4"/>
  <c r="H11" i="4" s="1"/>
  <c r="G10" i="4"/>
  <c r="H10" i="4" s="1"/>
  <c r="G9" i="4"/>
  <c r="H9" i="4" s="1"/>
  <c r="G8" i="4"/>
  <c r="H8" i="4" s="1"/>
  <c r="G7" i="4"/>
  <c r="H7" i="4" s="1"/>
  <c r="G6" i="4"/>
  <c r="H6" i="4" s="1"/>
  <c r="G5" i="4"/>
  <c r="H5" i="4" s="1"/>
  <c r="G4" i="4"/>
  <c r="H4" i="4" s="1"/>
  <c r="G3" i="4"/>
  <c r="H3" i="4" s="1"/>
  <c r="H5" i="1" l="1"/>
  <c r="H2" i="1" s="1"/>
</calcChain>
</file>

<file path=xl/sharedStrings.xml><?xml version="1.0" encoding="utf-8"?>
<sst xmlns="http://schemas.openxmlformats.org/spreadsheetml/2006/main" count="173" uniqueCount="24">
  <si>
    <t>Date</t>
  </si>
  <si>
    <t>Salesman</t>
  </si>
  <si>
    <t>State</t>
  </si>
  <si>
    <t>Amount Sold</t>
  </si>
  <si>
    <t>Dollars Earned</t>
  </si>
  <si>
    <t>Cost</t>
  </si>
  <si>
    <t>Profit</t>
  </si>
  <si>
    <t>Jim</t>
  </si>
  <si>
    <t>Phyllis</t>
  </si>
  <si>
    <t>Stanley</t>
  </si>
  <si>
    <t>Dwight</t>
  </si>
  <si>
    <t>Andy</t>
  </si>
  <si>
    <t>PA</t>
  </si>
  <si>
    <t>NY</t>
  </si>
  <si>
    <t>MD</t>
  </si>
  <si>
    <t>NJ</t>
  </si>
  <si>
    <t>Row Labels</t>
  </si>
  <si>
    <t>Grand Total</t>
  </si>
  <si>
    <t>Total Profit</t>
  </si>
  <si>
    <t>Totals</t>
  </si>
  <si>
    <t>Salesperson</t>
  </si>
  <si>
    <t>R K PVT.LTD</t>
  </si>
  <si>
    <t>Total profit</t>
  </si>
  <si>
    <t>Sale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</si>
</sst>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 #,##0.00_ ;_ * \-#,##0.00_ ;_ * &quot;-&quot;??_ ;_ @_ "/>
    <numFmt numFmtId="164" formatCode="&quot;$&quot;#,##0.00"/>
    <numFmt numFmtId="165" formatCode="mm/dd/yy;@"/>
  </numFmts>
  <fonts count="4" x14ac:knownFonts="1">
    <font>
      <sz val="11"/>
      <color theme="1"/>
      <name val="Calibri"/>
      <family val="2"/>
      <scheme val="minor"/>
    </font>
    <font>
      <b/>
      <sz val="11"/>
      <color theme="1"/>
      <name val="Calibri"/>
      <family val="2"/>
      <scheme val="minor"/>
    </font>
    <font>
      <sz val="11"/>
      <color rgb="FF00B0F0"/>
      <name val="Calibri"/>
      <family val="2"/>
      <scheme val="minor"/>
    </font>
    <font>
      <b/>
      <sz val="18"/>
      <color rgb="FF00B0F0"/>
      <name val="Calibri"/>
      <family val="2"/>
      <scheme val="minor"/>
    </font>
  </fonts>
  <fills count="5">
    <fill>
      <patternFill patternType="none"/>
    </fill>
    <fill>
      <patternFill patternType="gray125"/>
    </fill>
    <fill>
      <patternFill patternType="solid">
        <fgColor theme="4" tint="0.59999389629810485"/>
        <bgColor indexed="64"/>
      </patternFill>
    </fill>
    <fill>
      <patternFill patternType="solid">
        <fgColor theme="0" tint="-0.14999847407452621"/>
        <bgColor indexed="64"/>
      </patternFill>
    </fill>
    <fill>
      <patternFill patternType="solid">
        <fgColor theme="6" tint="0.59999389629810485"/>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
    <xf numFmtId="0" fontId="0" fillId="0" borderId="0"/>
  </cellStyleXfs>
  <cellXfs count="39">
    <xf numFmtId="0" fontId="0" fillId="0" borderId="0" xfId="0"/>
    <xf numFmtId="0" fontId="0" fillId="0" borderId="0" xfId="0" applyAlignment="1">
      <alignment horizontal="center"/>
    </xf>
    <xf numFmtId="164" fontId="0" fillId="0" borderId="0" xfId="0" applyNumberFormat="1" applyAlignment="1">
      <alignment horizontal="center"/>
    </xf>
    <xf numFmtId="2" fontId="0" fillId="0" borderId="0" xfId="0" applyNumberFormat="1" applyAlignment="1">
      <alignment horizontal="center"/>
    </xf>
    <xf numFmtId="0" fontId="0" fillId="0" borderId="1" xfId="0" applyBorder="1" applyAlignment="1">
      <alignment horizontal="center"/>
    </xf>
    <xf numFmtId="1" fontId="0" fillId="0" borderId="1" xfId="0" applyNumberFormat="1" applyBorder="1" applyAlignment="1">
      <alignment horizontal="center"/>
    </xf>
    <xf numFmtId="164" fontId="0" fillId="0" borderId="1" xfId="0" applyNumberFormat="1" applyBorder="1" applyAlignment="1">
      <alignment horizontal="center"/>
    </xf>
    <xf numFmtId="164" fontId="0" fillId="0" borderId="6" xfId="0" applyNumberFormat="1" applyBorder="1" applyAlignment="1">
      <alignment horizontal="center"/>
    </xf>
    <xf numFmtId="0" fontId="0" fillId="0" borderId="8" xfId="0" applyBorder="1" applyAlignment="1">
      <alignment horizontal="center"/>
    </xf>
    <xf numFmtId="1" fontId="0" fillId="0" borderId="8" xfId="0" applyNumberFormat="1" applyBorder="1" applyAlignment="1">
      <alignment horizontal="center"/>
    </xf>
    <xf numFmtId="164" fontId="0" fillId="0" borderId="8" xfId="0" applyNumberFormat="1" applyBorder="1" applyAlignment="1">
      <alignment horizontal="center"/>
    </xf>
    <xf numFmtId="164" fontId="0" fillId="0" borderId="9" xfId="0" applyNumberFormat="1" applyBorder="1" applyAlignment="1">
      <alignment horizontal="center"/>
    </xf>
    <xf numFmtId="165" fontId="0" fillId="0" borderId="0" xfId="0" applyNumberFormat="1" applyAlignment="1">
      <alignment horizontal="center"/>
    </xf>
    <xf numFmtId="165" fontId="0" fillId="0" borderId="5" xfId="0" applyNumberFormat="1" applyBorder="1" applyAlignment="1">
      <alignment horizontal="center"/>
    </xf>
    <xf numFmtId="165" fontId="0" fillId="0" borderId="7" xfId="0" applyNumberFormat="1" applyBorder="1" applyAlignment="1">
      <alignment horizontal="center"/>
    </xf>
    <xf numFmtId="0" fontId="0" fillId="0" borderId="0" xfId="0" pivotButton="1"/>
    <xf numFmtId="165" fontId="0" fillId="0" borderId="0" xfId="0" applyNumberFormat="1" applyAlignment="1">
      <alignment horizontal="left"/>
    </xf>
    <xf numFmtId="1" fontId="0" fillId="0" borderId="0" xfId="0" applyNumberFormat="1" applyAlignment="1">
      <alignment horizontal="center"/>
    </xf>
    <xf numFmtId="165" fontId="1" fillId="2" borderId="2" xfId="0" applyNumberFormat="1" applyFont="1" applyFill="1" applyBorder="1" applyAlignment="1">
      <alignment horizontal="center"/>
    </xf>
    <xf numFmtId="0" fontId="1" fillId="2" borderId="3" xfId="0" applyFont="1" applyFill="1" applyBorder="1" applyAlignment="1">
      <alignment horizontal="center"/>
    </xf>
    <xf numFmtId="2" fontId="1" fillId="2" borderId="3" xfId="0" applyNumberFormat="1" applyFont="1" applyFill="1" applyBorder="1" applyAlignment="1">
      <alignment horizontal="center"/>
    </xf>
    <xf numFmtId="164" fontId="1" fillId="2" borderId="3" xfId="0" applyNumberFormat="1" applyFont="1" applyFill="1" applyBorder="1" applyAlignment="1">
      <alignment horizontal="center"/>
    </xf>
    <xf numFmtId="0" fontId="1" fillId="2" borderId="4" xfId="0" applyFont="1" applyFill="1" applyBorder="1" applyAlignment="1">
      <alignment horizontal="center"/>
    </xf>
    <xf numFmtId="165" fontId="1" fillId="3" borderId="10" xfId="0" applyNumberFormat="1" applyFont="1" applyFill="1" applyBorder="1" applyAlignment="1">
      <alignment horizontal="center"/>
    </xf>
    <xf numFmtId="0" fontId="0" fillId="3" borderId="11" xfId="0" applyFill="1" applyBorder="1" applyAlignment="1">
      <alignment horizontal="center"/>
    </xf>
    <xf numFmtId="1" fontId="0" fillId="3" borderId="11" xfId="0" applyNumberFormat="1" applyFill="1" applyBorder="1" applyAlignment="1">
      <alignment horizontal="center"/>
    </xf>
    <xf numFmtId="164" fontId="0" fillId="3" borderId="11" xfId="0" applyNumberFormat="1" applyFill="1" applyBorder="1" applyAlignment="1">
      <alignment horizontal="center"/>
    </xf>
    <xf numFmtId="164" fontId="0" fillId="3" borderId="12" xfId="0" applyNumberFormat="1" applyFill="1" applyBorder="1" applyAlignment="1">
      <alignment horizontal="center"/>
    </xf>
    <xf numFmtId="164" fontId="0" fillId="0" borderId="0" xfId="0" applyNumberFormat="1"/>
    <xf numFmtId="0" fontId="0" fillId="0" borderId="0" xfId="0" pivotButton="1" applyAlignment="1">
      <alignment horizontal="center"/>
    </xf>
    <xf numFmtId="0" fontId="0" fillId="0" borderId="0" xfId="0" applyAlignment="1">
      <alignment horizontal="left" indent="1"/>
    </xf>
    <xf numFmtId="0" fontId="0" fillId="0" borderId="1" xfId="0" pivotButton="1" applyBorder="1"/>
    <xf numFmtId="43" fontId="0" fillId="0" borderId="1" xfId="0" applyNumberFormat="1" applyBorder="1"/>
    <xf numFmtId="0" fontId="0" fillId="0" borderId="1" xfId="0" applyBorder="1"/>
    <xf numFmtId="165" fontId="0" fillId="0" borderId="1" xfId="0" applyNumberFormat="1" applyBorder="1" applyAlignment="1">
      <alignment horizontal="left"/>
    </xf>
    <xf numFmtId="164" fontId="0" fillId="0" borderId="1" xfId="0" applyNumberFormat="1" applyBorder="1"/>
    <xf numFmtId="0" fontId="0" fillId="0" borderId="1" xfId="0" applyBorder="1" applyAlignment="1">
      <alignment horizontal="left" indent="1"/>
    </xf>
    <xf numFmtId="0" fontId="3" fillId="4" borderId="0" xfId="0" applyFont="1" applyFill="1" applyAlignment="1">
      <alignment horizontal="center" vertical="center"/>
    </xf>
    <xf numFmtId="0" fontId="2" fillId="4" borderId="0" xfId="0" applyFont="1" applyFill="1" applyAlignment="1">
      <alignment horizontal="center" vertical="center"/>
    </xf>
  </cellXfs>
  <cellStyles count="1">
    <cellStyle name="Normal" xfId="0" builtinId="0"/>
  </cellStyles>
  <dxfs count="35">
    <dxf>
      <alignment horizontal="center"/>
    </dxf>
    <dxf>
      <alignment horizontal="center"/>
    </dxf>
    <dxf>
      <numFmt numFmtId="164" formatCode="&quot;$&quot;#,##0.00"/>
    </dxf>
    <dxf>
      <numFmt numFmtId="164" formatCode="&quot;$&quot;#,##0.00"/>
    </dxf>
    <dxf>
      <alignment horizontal="center"/>
    </dxf>
    <dxf>
      <numFmt numFmtId="164" formatCode="&quot;$&quot;#,##0.00"/>
    </dxf>
    <dxf>
      <numFmt numFmtId="164" formatCode="&quot;$&quot;#,##0.00"/>
    </dxf>
    <dxf>
      <numFmt numFmtId="164" formatCode="&quot;$&quot;#,##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4" formatCode="&quot;$&quot;#,##0.00"/>
    </dxf>
    <dxf>
      <numFmt numFmtId="164" formatCode="&quot;$&quot;#,##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microsoft.com/office/2017/10/relationships/person" Target="persons/person.xml"/></Relationships>
</file>

<file path=xl/drawings/drawing1.xml><?xml version="1.0" encoding="utf-8"?>
<xdr:wsDr xmlns:xdr="http://schemas.openxmlformats.org/drawingml/2006/spreadsheetDrawing" xmlns:a="http://schemas.openxmlformats.org/drawingml/2006/main">
  <xdr:twoCellAnchor editAs="oneCell">
    <xdr:from>
      <xdr:col>3</xdr:col>
      <xdr:colOff>449580</xdr:colOff>
      <xdr:row>0</xdr:row>
      <xdr:rowOff>121921</xdr:rowOff>
    </xdr:from>
    <xdr:to>
      <xdr:col>6</xdr:col>
      <xdr:colOff>449580</xdr:colOff>
      <xdr:row>9</xdr:row>
      <xdr:rowOff>152400</xdr:rowOff>
    </xdr:to>
    <mc:AlternateContent xmlns:mc="http://schemas.openxmlformats.org/markup-compatibility/2006" xmlns:a14="http://schemas.microsoft.com/office/drawing/2010/main">
      <mc:Choice Requires="a14">
        <xdr:graphicFrame macro="">
          <xdr:nvGraphicFramePr>
            <xdr:cNvPr id="2" name="Salesman">
              <a:extLst>
                <a:ext uri="{FF2B5EF4-FFF2-40B4-BE49-F238E27FC236}">
                  <a16:creationId xmlns:a16="http://schemas.microsoft.com/office/drawing/2014/main" id="{49F6660F-3543-693D-38B3-AB4CFE039717}"/>
                </a:ext>
              </a:extLst>
            </xdr:cNvPr>
            <xdr:cNvGraphicFramePr/>
          </xdr:nvGraphicFramePr>
          <xdr:xfrm>
            <a:off x="0" y="0"/>
            <a:ext cx="0" cy="0"/>
          </xdr:xfrm>
          <a:graphic>
            <a:graphicData uri="http://schemas.microsoft.com/office/drawing/2010/slicer">
              <sle:slicer xmlns:sle="http://schemas.microsoft.com/office/drawing/2010/slicer" name="Salesman"/>
            </a:graphicData>
          </a:graphic>
        </xdr:graphicFrame>
      </mc:Choice>
      <mc:Fallback xmlns="">
        <xdr:sp macro="" textlink="">
          <xdr:nvSpPr>
            <xdr:cNvPr id="0" name=""/>
            <xdr:cNvSpPr>
              <a:spLocks noTextEdit="1"/>
            </xdr:cNvSpPr>
          </xdr:nvSpPr>
          <xdr:spPr>
            <a:xfrm>
              <a:off x="2926080" y="121921"/>
              <a:ext cx="1828800" cy="16763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 S" refreshedDate="44394.368568055557" createdVersion="7" refreshedVersion="7" minRefreshableVersion="3" recordCount="24" xr:uid="{36AAECF8-49A2-4E63-93FE-1AB6B5DBEA06}">
  <cacheSource type="worksheet">
    <worksheetSource ref="B2:H26" sheet="All Sales"/>
  </cacheSource>
  <cacheFields count="7">
    <cacheField name="Date" numFmtId="165">
      <sharedItems containsSemiMixedTypes="0" containsNonDate="0" containsDate="1" containsString="0" minDate="2021-07-01T00:00:00" maxDate="2021-07-10T00:00:00" count="6">
        <d v="2021-07-01T00:00:00"/>
        <d v="2021-07-02T00:00:00"/>
        <d v="2021-07-06T00:00:00"/>
        <d v="2021-07-07T00:00:00"/>
        <d v="2021-07-08T00:00:00"/>
        <d v="2021-07-09T00:00:00"/>
      </sharedItems>
    </cacheField>
    <cacheField name="Salesman" numFmtId="0">
      <sharedItems count="5">
        <s v="Jim"/>
        <s v="Andy"/>
        <s v="Dwight"/>
        <s v="Phyllis"/>
        <s v="Stanley"/>
      </sharedItems>
    </cacheField>
    <cacheField name="State" numFmtId="0">
      <sharedItems count="4">
        <s v="PA"/>
        <s v="NY"/>
        <s v="MD"/>
        <s v="NJ"/>
      </sharedItems>
    </cacheField>
    <cacheField name="Amount Sold" numFmtId="1">
      <sharedItems containsSemiMixedTypes="0" containsString="0" containsNumber="1" containsInteger="1" minValue="50" maxValue="2560"/>
    </cacheField>
    <cacheField name="Dollars Earned" numFmtId="164">
      <sharedItems containsSemiMixedTypes="0" containsString="0" containsNumber="1" containsInteger="1" minValue="500" maxValue="25600"/>
    </cacheField>
    <cacheField name="Cost" numFmtId="164">
      <sharedItems containsSemiMixedTypes="0" containsString="0" containsNumber="1" minValue="216.5" maxValue="11084.8"/>
    </cacheField>
    <cacheField name="Profit" numFmtId="164">
      <sharedItems containsSemiMixedTypes="0" containsString="0" containsNumber="1" minValue="283.5" maxValue="14515.2"/>
    </cacheField>
  </cacheFields>
  <extLst>
    <ext xmlns:x14="http://schemas.microsoft.com/office/spreadsheetml/2009/9/main" uri="{725AE2AE-9491-48be-B2B4-4EB974FC3084}">
      <x14:pivotCacheDefinition pivotCacheId="21277479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
  <r>
    <x v="0"/>
    <x v="0"/>
    <x v="0"/>
    <n v="1000"/>
    <n v="10000"/>
    <n v="4330"/>
    <n v="5670"/>
  </r>
  <r>
    <x v="0"/>
    <x v="1"/>
    <x v="0"/>
    <n v="250"/>
    <n v="2500"/>
    <n v="1082.5"/>
    <n v="1417.5"/>
  </r>
  <r>
    <x v="0"/>
    <x v="2"/>
    <x v="1"/>
    <n v="1200"/>
    <n v="12000"/>
    <n v="5196"/>
    <n v="6804"/>
  </r>
  <r>
    <x v="0"/>
    <x v="0"/>
    <x v="1"/>
    <n v="200"/>
    <n v="2000"/>
    <n v="866"/>
    <n v="1134"/>
  </r>
  <r>
    <x v="1"/>
    <x v="3"/>
    <x v="0"/>
    <n v="1700"/>
    <n v="17000"/>
    <n v="7361"/>
    <n v="9639"/>
  </r>
  <r>
    <x v="1"/>
    <x v="4"/>
    <x v="2"/>
    <n v="500"/>
    <n v="5000"/>
    <n v="2165"/>
    <n v="2835"/>
  </r>
  <r>
    <x v="1"/>
    <x v="2"/>
    <x v="1"/>
    <n v="1230"/>
    <n v="12300"/>
    <n v="5325.9"/>
    <n v="6974.1"/>
  </r>
  <r>
    <x v="1"/>
    <x v="2"/>
    <x v="0"/>
    <n v="2560"/>
    <n v="25600"/>
    <n v="11084.8"/>
    <n v="14515.2"/>
  </r>
  <r>
    <x v="2"/>
    <x v="1"/>
    <x v="0"/>
    <n v="900"/>
    <n v="9000"/>
    <n v="3897"/>
    <n v="5103"/>
  </r>
  <r>
    <x v="2"/>
    <x v="0"/>
    <x v="0"/>
    <n v="750"/>
    <n v="7500"/>
    <n v="3247.5"/>
    <n v="4252.5"/>
  </r>
  <r>
    <x v="2"/>
    <x v="0"/>
    <x v="1"/>
    <n v="300"/>
    <n v="3000"/>
    <n v="1299"/>
    <n v="1701"/>
  </r>
  <r>
    <x v="2"/>
    <x v="4"/>
    <x v="3"/>
    <n v="1200"/>
    <n v="12000"/>
    <n v="5196"/>
    <n v="6804"/>
  </r>
  <r>
    <x v="2"/>
    <x v="4"/>
    <x v="0"/>
    <n v="400"/>
    <n v="4000"/>
    <n v="1732"/>
    <n v="2268"/>
  </r>
  <r>
    <x v="2"/>
    <x v="3"/>
    <x v="2"/>
    <n v="300"/>
    <n v="3000"/>
    <n v="1299"/>
    <n v="1701"/>
  </r>
  <r>
    <x v="3"/>
    <x v="0"/>
    <x v="1"/>
    <n v="450"/>
    <n v="4500"/>
    <n v="1948.5"/>
    <n v="2551.5"/>
  </r>
  <r>
    <x v="3"/>
    <x v="2"/>
    <x v="0"/>
    <n v="800"/>
    <n v="8000"/>
    <n v="3464"/>
    <n v="4536"/>
  </r>
  <r>
    <x v="3"/>
    <x v="2"/>
    <x v="0"/>
    <n v="650"/>
    <n v="6500"/>
    <n v="2814.5"/>
    <n v="3685.5"/>
  </r>
  <r>
    <x v="3"/>
    <x v="4"/>
    <x v="0"/>
    <n v="700"/>
    <n v="7000"/>
    <n v="3031"/>
    <n v="3969"/>
  </r>
  <r>
    <x v="3"/>
    <x v="3"/>
    <x v="1"/>
    <n v="250"/>
    <n v="2500"/>
    <n v="1082.5"/>
    <n v="1417.5"/>
  </r>
  <r>
    <x v="4"/>
    <x v="3"/>
    <x v="0"/>
    <n v="125"/>
    <n v="1250"/>
    <n v="541.25"/>
    <n v="708.75"/>
  </r>
  <r>
    <x v="4"/>
    <x v="4"/>
    <x v="0"/>
    <n v="170"/>
    <n v="1700"/>
    <n v="736.1"/>
    <n v="963.9"/>
  </r>
  <r>
    <x v="4"/>
    <x v="4"/>
    <x v="1"/>
    <n v="670"/>
    <n v="6700"/>
    <n v="2901.1"/>
    <n v="3798.9"/>
  </r>
  <r>
    <x v="5"/>
    <x v="0"/>
    <x v="3"/>
    <n v="760"/>
    <n v="7600"/>
    <n v="3290.8"/>
    <n v="4309.2"/>
  </r>
  <r>
    <x v="5"/>
    <x v="2"/>
    <x v="2"/>
    <n v="50"/>
    <n v="500"/>
    <n v="216.5"/>
    <n v="283.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4909D55-916F-401F-9133-50464AF7D3E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8" firstHeaderRow="0" firstDataRow="1" firstDataCol="1"/>
  <pivotFields count="7">
    <pivotField axis="axisRow" numFmtId="165" showAll="0">
      <items count="7">
        <item x="0"/>
        <item x="1"/>
        <item x="2"/>
        <item x="3"/>
        <item x="4"/>
        <item x="5"/>
        <item t="default"/>
      </items>
    </pivotField>
    <pivotField axis="axisRow" showAll="0">
      <items count="6">
        <item x="1"/>
        <item x="2"/>
        <item x="0"/>
        <item x="3"/>
        <item x="4"/>
        <item t="default"/>
      </items>
    </pivotField>
    <pivotField showAll="0"/>
    <pivotField dataField="1" numFmtId="1" showAll="0"/>
    <pivotField numFmtId="164" showAll="0"/>
    <pivotField numFmtId="164" showAll="0"/>
    <pivotField dataField="1" numFmtId="164" showAll="0"/>
  </pivotFields>
  <rowFields count="2">
    <field x="0"/>
    <field x="1"/>
  </rowFields>
  <rowItems count="25">
    <i>
      <x/>
    </i>
    <i r="1">
      <x/>
    </i>
    <i r="1">
      <x v="1"/>
    </i>
    <i r="1">
      <x v="2"/>
    </i>
    <i>
      <x v="1"/>
    </i>
    <i r="1">
      <x v="1"/>
    </i>
    <i r="1">
      <x v="3"/>
    </i>
    <i r="1">
      <x v="4"/>
    </i>
    <i>
      <x v="2"/>
    </i>
    <i r="1">
      <x/>
    </i>
    <i r="1">
      <x v="2"/>
    </i>
    <i r="1">
      <x v="3"/>
    </i>
    <i r="1">
      <x v="4"/>
    </i>
    <i>
      <x v="3"/>
    </i>
    <i r="1">
      <x v="1"/>
    </i>
    <i r="1">
      <x v="2"/>
    </i>
    <i r="1">
      <x v="3"/>
    </i>
    <i r="1">
      <x v="4"/>
    </i>
    <i>
      <x v="4"/>
    </i>
    <i r="1">
      <x v="3"/>
    </i>
    <i r="1">
      <x v="4"/>
    </i>
    <i>
      <x v="5"/>
    </i>
    <i r="1">
      <x v="1"/>
    </i>
    <i r="1">
      <x v="2"/>
    </i>
    <i t="grand">
      <x/>
    </i>
  </rowItems>
  <colFields count="1">
    <field x="-2"/>
  </colFields>
  <colItems count="2">
    <i>
      <x/>
    </i>
    <i i="1">
      <x v="1"/>
    </i>
  </colItems>
  <dataFields count="2">
    <dataField name="Sale Quantity" fld="3" baseField="0" baseItem="0" numFmtId="1"/>
    <dataField name="Total profit" fld="6" baseField="0" baseItem="0" numFmtId="164"/>
  </dataFields>
  <formats count="13">
    <format dxfId="34">
      <pivotArea dataOnly="0" outline="0" fieldPosition="0">
        <references count="1">
          <reference field="4294967294" count="1">
            <x v="0"/>
          </reference>
        </references>
      </pivotArea>
    </format>
    <format dxfId="33">
      <pivotArea type="all" dataOnly="0" outline="0" fieldPosition="0"/>
    </format>
    <format dxfId="32">
      <pivotArea outline="0" collapsedLevelsAreSubtotals="1" fieldPosition="0"/>
    </format>
    <format dxfId="31">
      <pivotArea field="0" type="button" dataOnly="0" labelOnly="1" outline="0" axis="axisRow" fieldPosition="0"/>
    </format>
    <format dxfId="30">
      <pivotArea dataOnly="0" labelOnly="1" fieldPosition="0">
        <references count="1">
          <reference field="0" count="0"/>
        </references>
      </pivotArea>
    </format>
    <format dxfId="29">
      <pivotArea dataOnly="0" labelOnly="1" grandRow="1" outline="0" fieldPosition="0"/>
    </format>
    <format dxfId="28">
      <pivotArea dataOnly="0" labelOnly="1" fieldPosition="0">
        <references count="2">
          <reference field="0" count="1" selected="0">
            <x v="0"/>
          </reference>
          <reference field="1" count="3">
            <x v="0"/>
            <x v="1"/>
            <x v="2"/>
          </reference>
        </references>
      </pivotArea>
    </format>
    <format dxfId="27">
      <pivotArea dataOnly="0" labelOnly="1" fieldPosition="0">
        <references count="2">
          <reference field="0" count="1" selected="0">
            <x v="1"/>
          </reference>
          <reference field="1" count="3">
            <x v="1"/>
            <x v="3"/>
            <x v="4"/>
          </reference>
        </references>
      </pivotArea>
    </format>
    <format dxfId="26">
      <pivotArea dataOnly="0" labelOnly="1" fieldPosition="0">
        <references count="2">
          <reference field="0" count="1" selected="0">
            <x v="2"/>
          </reference>
          <reference field="1" count="4">
            <x v="0"/>
            <x v="2"/>
            <x v="3"/>
            <x v="4"/>
          </reference>
        </references>
      </pivotArea>
    </format>
    <format dxfId="25">
      <pivotArea dataOnly="0" labelOnly="1" fieldPosition="0">
        <references count="2">
          <reference field="0" count="1" selected="0">
            <x v="3"/>
          </reference>
          <reference field="1" count="4">
            <x v="1"/>
            <x v="2"/>
            <x v="3"/>
            <x v="4"/>
          </reference>
        </references>
      </pivotArea>
    </format>
    <format dxfId="24">
      <pivotArea dataOnly="0" labelOnly="1" fieldPosition="0">
        <references count="2">
          <reference field="0" count="1" selected="0">
            <x v="4"/>
          </reference>
          <reference field="1" count="2">
            <x v="3"/>
            <x v="4"/>
          </reference>
        </references>
      </pivotArea>
    </format>
    <format dxfId="23">
      <pivotArea dataOnly="0" labelOnly="1" fieldPosition="0">
        <references count="2">
          <reference field="0" count="1" selected="0">
            <x v="5"/>
          </reference>
          <reference field="1" count="2">
            <x v="1"/>
            <x v="2"/>
          </reference>
        </references>
      </pivotArea>
    </format>
    <format dxfId="22">
      <pivotArea dataOnly="0" labelOnly="1" outline="0" fieldPosition="0">
        <references count="1">
          <reference field="4294967294" count="2">
            <x v="0"/>
            <x v="1"/>
          </reference>
        </references>
      </pivotArea>
    </format>
  </formats>
  <conditionalFormats count="2">
    <conditionalFormat priority="2">
      <pivotAreas count="1">
        <pivotArea outline="0" fieldPosition="0">
          <references count="1">
            <reference field="4294967294" count="1">
              <x v="0"/>
            </reference>
          </references>
        </pivotArea>
      </pivotAreas>
    </conditionalFormat>
    <conditionalFormat priority="1">
      <pivotAreas count="1">
        <pivotArea outline="0" fieldPosition="0">
          <references count="1">
            <reference field="4294967294" count="1">
              <x v="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A4644D6-D2BA-446E-86CE-EB0FF8BA3B9D}"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S2:T27" firstHeaderRow="1" firstDataRow="1" firstDataCol="1"/>
  <pivotFields count="7">
    <pivotField axis="axisRow" numFmtId="165" showAll="0">
      <items count="7">
        <item x="0"/>
        <item x="1"/>
        <item x="2"/>
        <item x="3"/>
        <item x="4"/>
        <item x="5"/>
        <item t="default"/>
      </items>
    </pivotField>
    <pivotField axis="axisRow" showAll="0">
      <items count="6">
        <item x="1"/>
        <item x="2"/>
        <item x="0"/>
        <item x="3"/>
        <item x="4"/>
        <item t="default"/>
      </items>
    </pivotField>
    <pivotField showAll="0"/>
    <pivotField numFmtId="1" showAll="0"/>
    <pivotField numFmtId="164" showAll="0"/>
    <pivotField numFmtId="164" showAll="0"/>
    <pivotField dataField="1" numFmtId="164" showAll="0"/>
  </pivotFields>
  <rowFields count="2">
    <field x="0"/>
    <field x="1"/>
  </rowFields>
  <rowItems count="25">
    <i>
      <x/>
    </i>
    <i r="1">
      <x/>
    </i>
    <i r="1">
      <x v="1"/>
    </i>
    <i r="1">
      <x v="2"/>
    </i>
    <i>
      <x v="1"/>
    </i>
    <i r="1">
      <x v="1"/>
    </i>
    <i r="1">
      <x v="3"/>
    </i>
    <i r="1">
      <x v="4"/>
    </i>
    <i>
      <x v="2"/>
    </i>
    <i r="1">
      <x/>
    </i>
    <i r="1">
      <x v="2"/>
    </i>
    <i r="1">
      <x v="3"/>
    </i>
    <i r="1">
      <x v="4"/>
    </i>
    <i>
      <x v="3"/>
    </i>
    <i r="1">
      <x v="1"/>
    </i>
    <i r="1">
      <x v="2"/>
    </i>
    <i r="1">
      <x v="3"/>
    </i>
    <i r="1">
      <x v="4"/>
    </i>
    <i>
      <x v="4"/>
    </i>
    <i r="1">
      <x v="3"/>
    </i>
    <i r="1">
      <x v="4"/>
    </i>
    <i>
      <x v="5"/>
    </i>
    <i r="1">
      <x v="1"/>
    </i>
    <i r="1">
      <x v="2"/>
    </i>
    <i t="grand">
      <x/>
    </i>
  </rowItems>
  <colItems count="1">
    <i/>
  </colItems>
  <dataFields count="1">
    <dataField name="Total Profit" fld="6" baseField="0" baseItem="0" numFmtId="164"/>
  </dataFields>
  <formats count="4">
    <format dxfId="3">
      <pivotArea outline="0" collapsedLevelsAreSubtotals="1" fieldPosition="0"/>
    </format>
    <format dxfId="2">
      <pivotArea dataOnly="0" labelOnly="1" outline="0" axis="axisValues" fieldPosition="0"/>
    </format>
    <format dxfId="1">
      <pivotArea outline="0" collapsedLevelsAreSubtotals="1" fieldPosition="0"/>
    </format>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5D9C354-1D4B-4FF6-9563-C14C898AEEEF}"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Date">
  <location ref="J2:K9" firstHeaderRow="1" firstDataRow="1" firstDataCol="1"/>
  <pivotFields count="7">
    <pivotField axis="axisRow" numFmtId="165" showAll="0">
      <items count="7">
        <item x="0"/>
        <item x="1"/>
        <item x="2"/>
        <item x="3"/>
        <item x="4"/>
        <item x="5"/>
        <item t="default"/>
      </items>
    </pivotField>
    <pivotField showAll="0"/>
    <pivotField showAll="0"/>
    <pivotField numFmtId="1" showAll="0"/>
    <pivotField numFmtId="164" showAll="0"/>
    <pivotField numFmtId="164" showAll="0"/>
    <pivotField dataField="1" numFmtId="164" showAll="0"/>
  </pivotFields>
  <rowFields count="1">
    <field x="0"/>
  </rowFields>
  <rowItems count="7">
    <i>
      <x/>
    </i>
    <i>
      <x v="1"/>
    </i>
    <i>
      <x v="2"/>
    </i>
    <i>
      <x v="3"/>
    </i>
    <i>
      <x v="4"/>
    </i>
    <i>
      <x v="5"/>
    </i>
    <i t="grand">
      <x/>
    </i>
  </rowItems>
  <colItems count="1">
    <i/>
  </colItems>
  <dataFields count="1">
    <dataField name="Total Profit" fld="6" baseField="0" baseItem="0" numFmtId="164"/>
  </dataFields>
  <formats count="2">
    <format dxfId="5">
      <pivotArea outline="0" collapsedLevelsAreSubtotals="1" fieldPosition="0"/>
    </format>
    <format dxfId="4">
      <pivotArea dataOnly="0" fieldPosition="0">
        <references count="1">
          <reference field="0"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E68980C-8F55-41DC-BB54-DCBB4314E262}"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Salesperson">
  <location ref="M2:N8" firstHeaderRow="1" firstDataRow="1" firstDataCol="1"/>
  <pivotFields count="7">
    <pivotField numFmtId="165" showAll="0"/>
    <pivotField axis="axisRow" showAll="0">
      <items count="6">
        <item x="1"/>
        <item x="2"/>
        <item x="0"/>
        <item x="3"/>
        <item x="4"/>
        <item t="default"/>
      </items>
    </pivotField>
    <pivotField showAll="0"/>
    <pivotField numFmtId="1" showAll="0"/>
    <pivotField numFmtId="164" showAll="0"/>
    <pivotField numFmtId="164" showAll="0"/>
    <pivotField dataField="1" numFmtId="164" showAll="0"/>
  </pivotFields>
  <rowFields count="1">
    <field x="1"/>
  </rowFields>
  <rowItems count="6">
    <i>
      <x/>
    </i>
    <i>
      <x v="1"/>
    </i>
    <i>
      <x v="2"/>
    </i>
    <i>
      <x v="3"/>
    </i>
    <i>
      <x v="4"/>
    </i>
    <i t="grand">
      <x/>
    </i>
  </rowItems>
  <colItems count="1">
    <i/>
  </colItems>
  <dataFields count="1">
    <dataField name="Total Profit" fld="6" baseField="1" baseItem="0" numFmtId="164"/>
  </dataFields>
  <formats count="8">
    <format dxfId="13">
      <pivotArea type="all" dataOnly="0" outline="0" fieldPosition="0"/>
    </format>
    <format dxfId="12">
      <pivotArea outline="0" collapsedLevelsAreSubtotals="1" fieldPosition="0"/>
    </format>
    <format dxfId="11">
      <pivotArea field="1" type="button" dataOnly="0" labelOnly="1" outline="0" axis="axisRow" fieldPosition="0"/>
    </format>
    <format dxfId="10">
      <pivotArea dataOnly="0" labelOnly="1" fieldPosition="0">
        <references count="1">
          <reference field="1" count="0"/>
        </references>
      </pivotArea>
    </format>
    <format dxfId="9">
      <pivotArea dataOnly="0" labelOnly="1" grandRow="1" outline="0" fieldPosition="0"/>
    </format>
    <format dxfId="8">
      <pivotArea dataOnly="0" labelOnly="1" outline="0" axis="axisValues" fieldPosition="0"/>
    </format>
    <format dxfId="7">
      <pivotArea outline="0" collapsedLevelsAreSubtotals="1" fieldPosition="0"/>
    </format>
    <format dxfId="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74D04F9-2B67-4180-8B82-B247F99E8ABD}"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P2:Q7" firstHeaderRow="1" firstDataRow="1" firstDataCol="1"/>
  <pivotFields count="7">
    <pivotField numFmtId="165" showAll="0"/>
    <pivotField showAll="0"/>
    <pivotField axis="axisRow" showAll="0">
      <items count="5">
        <item x="2"/>
        <item x="3"/>
        <item x="1"/>
        <item x="0"/>
        <item t="default"/>
      </items>
    </pivotField>
    <pivotField numFmtId="1" showAll="0"/>
    <pivotField numFmtId="164" showAll="0"/>
    <pivotField numFmtId="164" showAll="0"/>
    <pivotField dataField="1" numFmtId="164" showAll="0"/>
  </pivotFields>
  <rowFields count="1">
    <field x="2"/>
  </rowFields>
  <rowItems count="5">
    <i>
      <x/>
    </i>
    <i>
      <x v="1"/>
    </i>
    <i>
      <x v="2"/>
    </i>
    <i>
      <x v="3"/>
    </i>
    <i t="grand">
      <x/>
    </i>
  </rowItems>
  <colItems count="1">
    <i/>
  </colItems>
  <dataFields count="1">
    <dataField name="Total Profit" fld="6" baseField="2" baseItem="0" numFmtId="164"/>
  </dataFields>
  <formats count="8">
    <format dxfId="21">
      <pivotArea outline="0" collapsedLevelsAreSubtotals="1" fieldPosition="0"/>
    </format>
    <format dxfId="20">
      <pivotArea dataOnly="0" labelOnly="1" outline="0" axis="axisValues" fieldPosition="0"/>
    </format>
    <format dxfId="19">
      <pivotArea type="all" dataOnly="0" outline="0" fieldPosition="0"/>
    </format>
    <format dxfId="18">
      <pivotArea outline="0" collapsedLevelsAreSubtotals="1" fieldPosition="0"/>
    </format>
    <format dxfId="17">
      <pivotArea field="2" type="button" dataOnly="0" labelOnly="1" outline="0" axis="axisRow" fieldPosition="0"/>
    </format>
    <format dxfId="16">
      <pivotArea dataOnly="0" labelOnly="1" fieldPosition="0">
        <references count="1">
          <reference field="2" count="0"/>
        </references>
      </pivotArea>
    </format>
    <format dxfId="15">
      <pivotArea dataOnly="0" labelOnly="1" grandRow="1" outline="0" fieldPosition="0"/>
    </format>
    <format dxfId="1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man" xr10:uid="{248DAF1C-CD3F-492F-B43D-097E579E2D6A}" sourceName="Salesman">
  <pivotTables>
    <pivotTable tabId="5" name="PivotTable1"/>
  </pivotTables>
  <data>
    <tabular pivotCacheId="2127747902">
      <items count="5">
        <i x="1" s="1"/>
        <i x="2" s="1"/>
        <i x="0"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man" xr10:uid="{6B6306D5-AD43-4B45-BC27-A354D0E16DCA}" cache="Slicer_Salesman" caption="Salesman"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ADC88B-6331-49D6-AE9B-07AF75BE44CE}">
  <dimension ref="A1:C28"/>
  <sheetViews>
    <sheetView showGridLines="0" tabSelected="1" workbookViewId="0">
      <selection activeCell="G11" sqref="G11"/>
    </sheetView>
  </sheetViews>
  <sheetFormatPr defaultRowHeight="14.4" x14ac:dyDescent="0.3"/>
  <cols>
    <col min="1" max="1" width="12.5546875" bestFit="1" customWidth="1"/>
    <col min="2" max="2" width="13.21875" bestFit="1" customWidth="1"/>
    <col min="3" max="3" width="10.33203125" bestFit="1" customWidth="1"/>
  </cols>
  <sheetData>
    <row r="1" spans="1:3" x14ac:dyDescent="0.3">
      <c r="A1" s="37" t="s">
        <v>21</v>
      </c>
      <c r="B1" s="38"/>
      <c r="C1" s="38"/>
    </row>
    <row r="2" spans="1:3" x14ac:dyDescent="0.3">
      <c r="A2" s="38"/>
      <c r="B2" s="38"/>
      <c r="C2" s="38"/>
    </row>
    <row r="3" spans="1:3" x14ac:dyDescent="0.3">
      <c r="A3" s="31" t="s">
        <v>16</v>
      </c>
      <c r="B3" s="32" t="s">
        <v>23</v>
      </c>
      <c r="C3" s="33" t="s">
        <v>22</v>
      </c>
    </row>
    <row r="4" spans="1:3" x14ac:dyDescent="0.3">
      <c r="A4" s="34">
        <v>44378</v>
      </c>
      <c r="B4" s="32">
        <v>2650</v>
      </c>
      <c r="C4" s="35">
        <v>15025.5</v>
      </c>
    </row>
    <row r="5" spans="1:3" x14ac:dyDescent="0.3">
      <c r="A5" s="36" t="s">
        <v>11</v>
      </c>
      <c r="B5" s="32">
        <v>250</v>
      </c>
      <c r="C5" s="35">
        <v>1417.5</v>
      </c>
    </row>
    <row r="6" spans="1:3" x14ac:dyDescent="0.3">
      <c r="A6" s="36" t="s">
        <v>10</v>
      </c>
      <c r="B6" s="32">
        <v>1200</v>
      </c>
      <c r="C6" s="35">
        <v>6804</v>
      </c>
    </row>
    <row r="7" spans="1:3" x14ac:dyDescent="0.3">
      <c r="A7" s="36" t="s">
        <v>7</v>
      </c>
      <c r="B7" s="32">
        <v>1200</v>
      </c>
      <c r="C7" s="35">
        <v>6804</v>
      </c>
    </row>
    <row r="8" spans="1:3" x14ac:dyDescent="0.3">
      <c r="A8" s="34">
        <v>44379</v>
      </c>
      <c r="B8" s="32">
        <v>5990</v>
      </c>
      <c r="C8" s="35">
        <v>33963.300000000003</v>
      </c>
    </row>
    <row r="9" spans="1:3" x14ac:dyDescent="0.3">
      <c r="A9" s="36" t="s">
        <v>10</v>
      </c>
      <c r="B9" s="32">
        <v>3790</v>
      </c>
      <c r="C9" s="35">
        <v>21489.300000000003</v>
      </c>
    </row>
    <row r="10" spans="1:3" x14ac:dyDescent="0.3">
      <c r="A10" s="36" t="s">
        <v>8</v>
      </c>
      <c r="B10" s="32">
        <v>1700</v>
      </c>
      <c r="C10" s="35">
        <v>9639</v>
      </c>
    </row>
    <row r="11" spans="1:3" x14ac:dyDescent="0.3">
      <c r="A11" s="36" t="s">
        <v>9</v>
      </c>
      <c r="B11" s="32">
        <v>500</v>
      </c>
      <c r="C11" s="35">
        <v>2835</v>
      </c>
    </row>
    <row r="12" spans="1:3" x14ac:dyDescent="0.3">
      <c r="A12" s="34">
        <v>44383</v>
      </c>
      <c r="B12" s="32">
        <v>3850</v>
      </c>
      <c r="C12" s="35">
        <v>21829.5</v>
      </c>
    </row>
    <row r="13" spans="1:3" x14ac:dyDescent="0.3">
      <c r="A13" s="36" t="s">
        <v>11</v>
      </c>
      <c r="B13" s="32">
        <v>900</v>
      </c>
      <c r="C13" s="35">
        <v>5103</v>
      </c>
    </row>
    <row r="14" spans="1:3" x14ac:dyDescent="0.3">
      <c r="A14" s="36" t="s">
        <v>7</v>
      </c>
      <c r="B14" s="32">
        <v>1050</v>
      </c>
      <c r="C14" s="35">
        <v>5953.5</v>
      </c>
    </row>
    <row r="15" spans="1:3" x14ac:dyDescent="0.3">
      <c r="A15" s="36" t="s">
        <v>8</v>
      </c>
      <c r="B15" s="32">
        <v>300</v>
      </c>
      <c r="C15" s="35">
        <v>1701</v>
      </c>
    </row>
    <row r="16" spans="1:3" x14ac:dyDescent="0.3">
      <c r="A16" s="36" t="s">
        <v>9</v>
      </c>
      <c r="B16" s="32">
        <v>1600</v>
      </c>
      <c r="C16" s="35">
        <v>9072</v>
      </c>
    </row>
    <row r="17" spans="1:3" x14ac:dyDescent="0.3">
      <c r="A17" s="34">
        <v>44384</v>
      </c>
      <c r="B17" s="32">
        <v>2850</v>
      </c>
      <c r="C17" s="35">
        <v>16159.5</v>
      </c>
    </row>
    <row r="18" spans="1:3" x14ac:dyDescent="0.3">
      <c r="A18" s="36" t="s">
        <v>10</v>
      </c>
      <c r="B18" s="32">
        <v>1450</v>
      </c>
      <c r="C18" s="35">
        <v>8221.5</v>
      </c>
    </row>
    <row r="19" spans="1:3" x14ac:dyDescent="0.3">
      <c r="A19" s="36" t="s">
        <v>7</v>
      </c>
      <c r="B19" s="32">
        <v>450</v>
      </c>
      <c r="C19" s="35">
        <v>2551.5</v>
      </c>
    </row>
    <row r="20" spans="1:3" x14ac:dyDescent="0.3">
      <c r="A20" s="36" t="s">
        <v>8</v>
      </c>
      <c r="B20" s="32">
        <v>250</v>
      </c>
      <c r="C20" s="35">
        <v>1417.5</v>
      </c>
    </row>
    <row r="21" spans="1:3" x14ac:dyDescent="0.3">
      <c r="A21" s="36" t="s">
        <v>9</v>
      </c>
      <c r="B21" s="32">
        <v>700</v>
      </c>
      <c r="C21" s="35">
        <v>3969</v>
      </c>
    </row>
    <row r="22" spans="1:3" x14ac:dyDescent="0.3">
      <c r="A22" s="34">
        <v>44385</v>
      </c>
      <c r="B22" s="32">
        <v>965</v>
      </c>
      <c r="C22" s="35">
        <v>5471.55</v>
      </c>
    </row>
    <row r="23" spans="1:3" x14ac:dyDescent="0.3">
      <c r="A23" s="36" t="s">
        <v>8</v>
      </c>
      <c r="B23" s="32">
        <v>125</v>
      </c>
      <c r="C23" s="35">
        <v>708.75</v>
      </c>
    </row>
    <row r="24" spans="1:3" x14ac:dyDescent="0.3">
      <c r="A24" s="36" t="s">
        <v>9</v>
      </c>
      <c r="B24" s="32">
        <v>840</v>
      </c>
      <c r="C24" s="35">
        <v>4762.8</v>
      </c>
    </row>
    <row r="25" spans="1:3" x14ac:dyDescent="0.3">
      <c r="A25" s="34">
        <v>44386</v>
      </c>
      <c r="B25" s="32">
        <v>810</v>
      </c>
      <c r="C25" s="35">
        <v>4592.7</v>
      </c>
    </row>
    <row r="26" spans="1:3" x14ac:dyDescent="0.3">
      <c r="A26" s="36" t="s">
        <v>10</v>
      </c>
      <c r="B26" s="32">
        <v>50</v>
      </c>
      <c r="C26" s="35">
        <v>283.5</v>
      </c>
    </row>
    <row r="27" spans="1:3" x14ac:dyDescent="0.3">
      <c r="A27" s="36" t="s">
        <v>7</v>
      </c>
      <c r="B27" s="32">
        <v>760</v>
      </c>
      <c r="C27" s="35">
        <v>4309.2</v>
      </c>
    </row>
    <row r="28" spans="1:3" x14ac:dyDescent="0.3">
      <c r="A28" s="34" t="s">
        <v>17</v>
      </c>
      <c r="B28" s="32">
        <v>17115</v>
      </c>
      <c r="C28" s="35">
        <v>97042.05</v>
      </c>
    </row>
  </sheetData>
  <mergeCells count="1">
    <mergeCell ref="A1:C2"/>
  </mergeCells>
  <conditionalFormatting sqref="A3:C3 A28">
    <cfRule type="colorScale" priority="4">
      <colorScale>
        <cfvo type="min"/>
        <cfvo type="percentile" val="50"/>
        <cfvo type="max"/>
        <color rgb="FF63BE7B"/>
        <color rgb="FFFFEB84"/>
        <color rgb="FFF8696B"/>
      </colorScale>
    </cfRule>
  </conditionalFormatting>
  <conditionalFormatting sqref="A3:C3 A28">
    <cfRule type="colorScale" priority="3">
      <colorScale>
        <cfvo type="min"/>
        <cfvo type="percentile" val="50"/>
        <cfvo type="max"/>
        <color rgb="FF63BE7B"/>
        <color rgb="FFFFEB84"/>
        <color rgb="FFF8696B"/>
      </colorScale>
    </cfRule>
  </conditionalFormatting>
  <conditionalFormatting pivot="1" sqref="B4:B28">
    <cfRule type="dataBar" priority="2">
      <dataBar>
        <cfvo type="min"/>
        <cfvo type="max"/>
        <color rgb="FF63C384"/>
      </dataBar>
      <extLst>
        <ext xmlns:x14="http://schemas.microsoft.com/office/spreadsheetml/2009/9/main" uri="{B025F937-C7B1-47D3-B67F-A62EFF666E3E}">
          <x14:id>{E40208AE-036A-4401-949E-85758B58EDDA}</x14:id>
        </ext>
      </extLst>
    </cfRule>
  </conditionalFormatting>
  <conditionalFormatting pivot="1" sqref="C4:C28">
    <cfRule type="colorScale" priority="1">
      <colorScale>
        <cfvo type="min"/>
        <cfvo type="percentile" val="50"/>
        <cfvo type="max"/>
        <color rgb="FF63BE7B"/>
        <color rgb="FFFFEB84"/>
        <color rgb="FFF8696B"/>
      </colorScale>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E40208AE-036A-4401-949E-85758B58EDDA}">
            <x14:dataBar minLength="0" maxLength="100" gradient="0">
              <x14:cfvo type="autoMin"/>
              <x14:cfvo type="autoMax"/>
              <x14:negativeFillColor rgb="FFFF0000"/>
              <x14:axisColor rgb="FF000000"/>
            </x14:dataBar>
          </x14:cfRule>
          <xm:sqref>B4:B28</xm:sqref>
        </x14:conditionalFormatting>
      </x14:conditionalFormattings>
    </ex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EDF96-A75F-4D15-9BAC-735F3B0D9608}">
  <dimension ref="B1:T29"/>
  <sheetViews>
    <sheetView workbookViewId="0">
      <selection activeCell="K24" sqref="K24"/>
    </sheetView>
  </sheetViews>
  <sheetFormatPr defaultRowHeight="14.4" x14ac:dyDescent="0.3"/>
  <cols>
    <col min="5" max="5" width="12" bestFit="1" customWidth="1"/>
    <col min="6" max="6" width="13.109375" bestFit="1" customWidth="1"/>
    <col min="7" max="7" width="12.33203125" customWidth="1"/>
    <col min="8" max="8" width="10" bestFit="1" customWidth="1"/>
    <col min="9" max="9" width="2.5546875" customWidth="1"/>
    <col min="10" max="10" width="10.77734375" bestFit="1" customWidth="1"/>
    <col min="11" max="11" width="10.33203125" bestFit="1" customWidth="1"/>
    <col min="12" max="12" width="2.21875" customWidth="1"/>
    <col min="13" max="13" width="15.44140625" style="1" bestFit="1" customWidth="1"/>
    <col min="14" max="14" width="10.33203125" style="2" bestFit="1" customWidth="1"/>
    <col min="15" max="15" width="2.21875" customWidth="1"/>
    <col min="16" max="16" width="14.77734375" style="1" bestFit="1" customWidth="1"/>
    <col min="17" max="17" width="10.33203125" style="2" bestFit="1" customWidth="1"/>
    <col min="18" max="18" width="2.109375" customWidth="1"/>
    <col min="19" max="19" width="12.5546875" bestFit="1" customWidth="1"/>
    <col min="20" max="20" width="10.33203125" style="2" bestFit="1" customWidth="1"/>
  </cols>
  <sheetData>
    <row r="1" spans="2:20" ht="15" thickBot="1" x14ac:dyDescent="0.35">
      <c r="B1" s="12"/>
      <c r="C1" s="1"/>
      <c r="D1" s="1"/>
      <c r="E1" s="3"/>
      <c r="F1" s="2"/>
      <c r="G1" s="1"/>
      <c r="H1" s="1"/>
    </row>
    <row r="2" spans="2:20" ht="15" thickBot="1" x14ac:dyDescent="0.35">
      <c r="B2" s="23" t="s">
        <v>19</v>
      </c>
      <c r="C2" s="24"/>
      <c r="D2" s="24"/>
      <c r="E2" s="25">
        <f>SUM(E4:E200)</f>
        <v>17115</v>
      </c>
      <c r="F2" s="26">
        <f>SUM(F4:F200)</f>
        <v>171150</v>
      </c>
      <c r="G2" s="26">
        <f>SUM(G4:G200)</f>
        <v>74107.950000000012</v>
      </c>
      <c r="H2" s="27">
        <f>SUM(H4:H200)</f>
        <v>97042.049999999988</v>
      </c>
      <c r="J2" s="15" t="s">
        <v>0</v>
      </c>
      <c r="K2" t="s">
        <v>18</v>
      </c>
      <c r="M2" s="29" t="s">
        <v>20</v>
      </c>
      <c r="N2" s="2" t="s">
        <v>18</v>
      </c>
      <c r="P2" s="29" t="s">
        <v>16</v>
      </c>
      <c r="Q2" s="2" t="s">
        <v>18</v>
      </c>
      <c r="S2" s="15" t="s">
        <v>16</v>
      </c>
      <c r="T2" s="2" t="s">
        <v>18</v>
      </c>
    </row>
    <row r="3" spans="2:20" x14ac:dyDescent="0.3">
      <c r="B3" s="18" t="s">
        <v>0</v>
      </c>
      <c r="C3" s="19" t="s">
        <v>1</v>
      </c>
      <c r="D3" s="19" t="s">
        <v>2</v>
      </c>
      <c r="E3" s="20" t="s">
        <v>3</v>
      </c>
      <c r="F3" s="21" t="s">
        <v>4</v>
      </c>
      <c r="G3" s="19" t="s">
        <v>5</v>
      </c>
      <c r="H3" s="22" t="s">
        <v>6</v>
      </c>
      <c r="J3" s="12">
        <v>44378</v>
      </c>
      <c r="K3" s="2">
        <v>15025.5</v>
      </c>
      <c r="M3" s="1" t="s">
        <v>11</v>
      </c>
      <c r="N3" s="2">
        <v>6520.5</v>
      </c>
      <c r="P3" s="1" t="s">
        <v>14</v>
      </c>
      <c r="Q3" s="2">
        <v>4819.5</v>
      </c>
      <c r="S3" s="16">
        <v>44378</v>
      </c>
      <c r="T3" s="2">
        <v>15025.5</v>
      </c>
    </row>
    <row r="4" spans="2:20" x14ac:dyDescent="0.3">
      <c r="B4" s="13">
        <v>44378</v>
      </c>
      <c r="C4" s="4" t="s">
        <v>7</v>
      </c>
      <c r="D4" s="4" t="s">
        <v>12</v>
      </c>
      <c r="E4" s="5">
        <v>1000</v>
      </c>
      <c r="F4" s="6">
        <v>10000</v>
      </c>
      <c r="G4" s="6">
        <f>E4*4.33</f>
        <v>4330</v>
      </c>
      <c r="H4" s="7">
        <f>F4-G4</f>
        <v>5670</v>
      </c>
      <c r="J4" s="12">
        <v>44379</v>
      </c>
      <c r="K4" s="2">
        <v>33963.300000000003</v>
      </c>
      <c r="M4" s="1" t="s">
        <v>10</v>
      </c>
      <c r="N4" s="2">
        <v>36798.300000000003</v>
      </c>
      <c r="P4" s="1" t="s">
        <v>15</v>
      </c>
      <c r="Q4" s="2">
        <v>11113.2</v>
      </c>
      <c r="S4" s="30" t="s">
        <v>11</v>
      </c>
      <c r="T4" s="2">
        <v>1417.5</v>
      </c>
    </row>
    <row r="5" spans="2:20" x14ac:dyDescent="0.3">
      <c r="B5" s="13">
        <v>44378</v>
      </c>
      <c r="C5" s="4" t="s">
        <v>11</v>
      </c>
      <c r="D5" s="4" t="s">
        <v>12</v>
      </c>
      <c r="E5" s="5">
        <v>250</v>
      </c>
      <c r="F5" s="6">
        <v>2500</v>
      </c>
      <c r="G5" s="6">
        <f t="shared" ref="G5:G27" si="0">E5*4.33</f>
        <v>1082.5</v>
      </c>
      <c r="H5" s="7">
        <f t="shared" ref="H5:H27" si="1">F5-G5</f>
        <v>1417.5</v>
      </c>
      <c r="J5" s="12">
        <v>44383</v>
      </c>
      <c r="K5" s="2">
        <v>21829.5</v>
      </c>
      <c r="M5" s="1" t="s">
        <v>7</v>
      </c>
      <c r="N5" s="2">
        <v>19618.2</v>
      </c>
      <c r="P5" s="1" t="s">
        <v>13</v>
      </c>
      <c r="Q5" s="2">
        <v>24381</v>
      </c>
      <c r="S5" s="30" t="s">
        <v>10</v>
      </c>
      <c r="T5" s="2">
        <v>6804</v>
      </c>
    </row>
    <row r="6" spans="2:20" x14ac:dyDescent="0.3">
      <c r="B6" s="13">
        <v>44378</v>
      </c>
      <c r="C6" s="4" t="s">
        <v>10</v>
      </c>
      <c r="D6" s="4" t="s">
        <v>13</v>
      </c>
      <c r="E6" s="5">
        <v>1200</v>
      </c>
      <c r="F6" s="6">
        <v>12000</v>
      </c>
      <c r="G6" s="6">
        <f t="shared" si="0"/>
        <v>5196</v>
      </c>
      <c r="H6" s="7">
        <f t="shared" si="1"/>
        <v>6804</v>
      </c>
      <c r="J6" s="12">
        <v>44384</v>
      </c>
      <c r="K6" s="2">
        <v>16159.5</v>
      </c>
      <c r="M6" s="1" t="s">
        <v>8</v>
      </c>
      <c r="N6" s="2">
        <v>13466.25</v>
      </c>
      <c r="P6" s="1" t="s">
        <v>12</v>
      </c>
      <c r="Q6" s="2">
        <v>56728.35</v>
      </c>
      <c r="S6" s="30" t="s">
        <v>7</v>
      </c>
      <c r="T6" s="2">
        <v>6804</v>
      </c>
    </row>
    <row r="7" spans="2:20" x14ac:dyDescent="0.3">
      <c r="B7" s="13">
        <v>44378</v>
      </c>
      <c r="C7" s="4" t="s">
        <v>7</v>
      </c>
      <c r="D7" s="4" t="s">
        <v>13</v>
      </c>
      <c r="E7" s="5">
        <v>200</v>
      </c>
      <c r="F7" s="6">
        <v>2000</v>
      </c>
      <c r="G7" s="6">
        <f t="shared" si="0"/>
        <v>866</v>
      </c>
      <c r="H7" s="7">
        <f t="shared" si="1"/>
        <v>1134</v>
      </c>
      <c r="J7" s="12">
        <v>44385</v>
      </c>
      <c r="K7" s="2">
        <v>5471.55</v>
      </c>
      <c r="M7" s="1" t="s">
        <v>9</v>
      </c>
      <c r="N7" s="2">
        <v>20638.800000000003</v>
      </c>
      <c r="P7" s="1" t="s">
        <v>17</v>
      </c>
      <c r="Q7" s="2">
        <v>97042.049999999988</v>
      </c>
      <c r="S7" s="16">
        <v>44379</v>
      </c>
      <c r="T7" s="2">
        <v>33963.300000000003</v>
      </c>
    </row>
    <row r="8" spans="2:20" x14ac:dyDescent="0.3">
      <c r="B8" s="13">
        <v>44379</v>
      </c>
      <c r="C8" s="4" t="s">
        <v>8</v>
      </c>
      <c r="D8" s="4" t="s">
        <v>12</v>
      </c>
      <c r="E8" s="5">
        <v>1700</v>
      </c>
      <c r="F8" s="6">
        <v>17000</v>
      </c>
      <c r="G8" s="6">
        <f t="shared" si="0"/>
        <v>7361</v>
      </c>
      <c r="H8" s="7">
        <f t="shared" si="1"/>
        <v>9639</v>
      </c>
      <c r="J8" s="12">
        <v>44386</v>
      </c>
      <c r="K8" s="2">
        <v>4592.7</v>
      </c>
      <c r="M8" s="1" t="s">
        <v>17</v>
      </c>
      <c r="N8" s="2">
        <v>97042.05</v>
      </c>
      <c r="S8" s="30" t="s">
        <v>10</v>
      </c>
      <c r="T8" s="2">
        <v>21489.300000000003</v>
      </c>
    </row>
    <row r="9" spans="2:20" x14ac:dyDescent="0.3">
      <c r="B9" s="13">
        <v>44379</v>
      </c>
      <c r="C9" s="4" t="s">
        <v>9</v>
      </c>
      <c r="D9" s="4" t="s">
        <v>14</v>
      </c>
      <c r="E9" s="5">
        <v>500</v>
      </c>
      <c r="F9" s="6">
        <v>5000</v>
      </c>
      <c r="G9" s="6">
        <f t="shared" si="0"/>
        <v>2165</v>
      </c>
      <c r="H9" s="7">
        <f t="shared" si="1"/>
        <v>2835</v>
      </c>
      <c r="J9" s="16" t="s">
        <v>17</v>
      </c>
      <c r="K9" s="28">
        <v>97042.05</v>
      </c>
      <c r="S9" s="30" t="s">
        <v>8</v>
      </c>
      <c r="T9" s="2">
        <v>9639</v>
      </c>
    </row>
    <row r="10" spans="2:20" x14ac:dyDescent="0.3">
      <c r="B10" s="13">
        <v>44379</v>
      </c>
      <c r="C10" s="4" t="s">
        <v>10</v>
      </c>
      <c r="D10" s="4" t="s">
        <v>13</v>
      </c>
      <c r="E10" s="5">
        <v>1230</v>
      </c>
      <c r="F10" s="6">
        <v>12300</v>
      </c>
      <c r="G10" s="6">
        <f t="shared" si="0"/>
        <v>5325.9</v>
      </c>
      <c r="H10" s="7">
        <f t="shared" si="1"/>
        <v>6974.1</v>
      </c>
      <c r="S10" s="30" t="s">
        <v>9</v>
      </c>
      <c r="T10" s="2">
        <v>2835</v>
      </c>
    </row>
    <row r="11" spans="2:20" x14ac:dyDescent="0.3">
      <c r="B11" s="13">
        <v>44379</v>
      </c>
      <c r="C11" s="4" t="s">
        <v>10</v>
      </c>
      <c r="D11" s="4" t="s">
        <v>12</v>
      </c>
      <c r="E11" s="5">
        <v>2560</v>
      </c>
      <c r="F11" s="6">
        <v>25600</v>
      </c>
      <c r="G11" s="6">
        <f t="shared" si="0"/>
        <v>11084.8</v>
      </c>
      <c r="H11" s="7">
        <f t="shared" si="1"/>
        <v>14515.2</v>
      </c>
      <c r="S11" s="16">
        <v>44383</v>
      </c>
      <c r="T11" s="2">
        <v>21829.5</v>
      </c>
    </row>
    <row r="12" spans="2:20" x14ac:dyDescent="0.3">
      <c r="B12" s="13">
        <v>44383</v>
      </c>
      <c r="C12" s="4" t="s">
        <v>11</v>
      </c>
      <c r="D12" s="4" t="s">
        <v>12</v>
      </c>
      <c r="E12" s="5">
        <v>900</v>
      </c>
      <c r="F12" s="6">
        <v>9000</v>
      </c>
      <c r="G12" s="6">
        <f t="shared" si="0"/>
        <v>3897</v>
      </c>
      <c r="H12" s="7">
        <f t="shared" si="1"/>
        <v>5103</v>
      </c>
      <c r="S12" s="30" t="s">
        <v>11</v>
      </c>
      <c r="T12" s="2">
        <v>5103</v>
      </c>
    </row>
    <row r="13" spans="2:20" x14ac:dyDescent="0.3">
      <c r="B13" s="13">
        <v>44383</v>
      </c>
      <c r="C13" s="4" t="s">
        <v>7</v>
      </c>
      <c r="D13" s="4" t="s">
        <v>12</v>
      </c>
      <c r="E13" s="5">
        <v>750</v>
      </c>
      <c r="F13" s="6">
        <v>7500</v>
      </c>
      <c r="G13" s="6">
        <f t="shared" si="0"/>
        <v>3247.5</v>
      </c>
      <c r="H13" s="7">
        <f t="shared" si="1"/>
        <v>4252.5</v>
      </c>
      <c r="S13" s="30" t="s">
        <v>7</v>
      </c>
      <c r="T13" s="2">
        <v>5953.5</v>
      </c>
    </row>
    <row r="14" spans="2:20" x14ac:dyDescent="0.3">
      <c r="B14" s="13">
        <v>44383</v>
      </c>
      <c r="C14" s="4" t="s">
        <v>7</v>
      </c>
      <c r="D14" s="4" t="s">
        <v>13</v>
      </c>
      <c r="E14" s="5">
        <v>300</v>
      </c>
      <c r="F14" s="6">
        <v>3000</v>
      </c>
      <c r="G14" s="6">
        <f t="shared" si="0"/>
        <v>1299</v>
      </c>
      <c r="H14" s="7">
        <f t="shared" si="1"/>
        <v>1701</v>
      </c>
      <c r="S14" s="30" t="s">
        <v>8</v>
      </c>
      <c r="T14" s="2">
        <v>1701</v>
      </c>
    </row>
    <row r="15" spans="2:20" x14ac:dyDescent="0.3">
      <c r="B15" s="13">
        <v>44383</v>
      </c>
      <c r="C15" s="4" t="s">
        <v>9</v>
      </c>
      <c r="D15" s="4" t="s">
        <v>15</v>
      </c>
      <c r="E15" s="5">
        <v>1200</v>
      </c>
      <c r="F15" s="6">
        <v>12000</v>
      </c>
      <c r="G15" s="6">
        <f t="shared" si="0"/>
        <v>5196</v>
      </c>
      <c r="H15" s="7">
        <f t="shared" si="1"/>
        <v>6804</v>
      </c>
      <c r="S15" s="30" t="s">
        <v>9</v>
      </c>
      <c r="T15" s="2">
        <v>9072</v>
      </c>
    </row>
    <row r="16" spans="2:20" x14ac:dyDescent="0.3">
      <c r="B16" s="13">
        <v>44383</v>
      </c>
      <c r="C16" s="4" t="s">
        <v>9</v>
      </c>
      <c r="D16" s="4" t="s">
        <v>12</v>
      </c>
      <c r="E16" s="5">
        <v>400</v>
      </c>
      <c r="F16" s="6">
        <v>4000</v>
      </c>
      <c r="G16" s="6">
        <f t="shared" si="0"/>
        <v>1732</v>
      </c>
      <c r="H16" s="7">
        <f t="shared" si="1"/>
        <v>2268</v>
      </c>
      <c r="S16" s="16">
        <v>44384</v>
      </c>
      <c r="T16" s="2">
        <v>16159.5</v>
      </c>
    </row>
    <row r="17" spans="2:20" x14ac:dyDescent="0.3">
      <c r="B17" s="13">
        <v>44383</v>
      </c>
      <c r="C17" s="4" t="s">
        <v>8</v>
      </c>
      <c r="D17" s="4" t="s">
        <v>14</v>
      </c>
      <c r="E17" s="5">
        <v>300</v>
      </c>
      <c r="F17" s="6">
        <v>3000</v>
      </c>
      <c r="G17" s="6">
        <f t="shared" si="0"/>
        <v>1299</v>
      </c>
      <c r="H17" s="7">
        <f t="shared" si="1"/>
        <v>1701</v>
      </c>
      <c r="S17" s="30" t="s">
        <v>10</v>
      </c>
      <c r="T17" s="2">
        <v>8221.5</v>
      </c>
    </row>
    <row r="18" spans="2:20" x14ac:dyDescent="0.3">
      <c r="B18" s="13">
        <v>44384</v>
      </c>
      <c r="C18" s="4" t="s">
        <v>7</v>
      </c>
      <c r="D18" s="4" t="s">
        <v>13</v>
      </c>
      <c r="E18" s="5">
        <v>450</v>
      </c>
      <c r="F18" s="6">
        <v>4500</v>
      </c>
      <c r="G18" s="6">
        <f t="shared" si="0"/>
        <v>1948.5</v>
      </c>
      <c r="H18" s="7">
        <f t="shared" si="1"/>
        <v>2551.5</v>
      </c>
      <c r="S18" s="30" t="s">
        <v>7</v>
      </c>
      <c r="T18" s="2">
        <v>2551.5</v>
      </c>
    </row>
    <row r="19" spans="2:20" x14ac:dyDescent="0.3">
      <c r="B19" s="13">
        <v>44384</v>
      </c>
      <c r="C19" s="4" t="s">
        <v>10</v>
      </c>
      <c r="D19" s="4" t="s">
        <v>12</v>
      </c>
      <c r="E19" s="5">
        <v>800</v>
      </c>
      <c r="F19" s="6">
        <v>8000</v>
      </c>
      <c r="G19" s="6">
        <f t="shared" si="0"/>
        <v>3464</v>
      </c>
      <c r="H19" s="7">
        <f t="shared" si="1"/>
        <v>4536</v>
      </c>
      <c r="S19" s="30" t="s">
        <v>8</v>
      </c>
      <c r="T19" s="2">
        <v>1417.5</v>
      </c>
    </row>
    <row r="20" spans="2:20" x14ac:dyDescent="0.3">
      <c r="B20" s="13">
        <v>44384</v>
      </c>
      <c r="C20" s="4" t="s">
        <v>10</v>
      </c>
      <c r="D20" s="4" t="s">
        <v>12</v>
      </c>
      <c r="E20" s="5">
        <v>650</v>
      </c>
      <c r="F20" s="6">
        <v>6500</v>
      </c>
      <c r="G20" s="6">
        <f t="shared" si="0"/>
        <v>2814.5</v>
      </c>
      <c r="H20" s="7">
        <f t="shared" si="1"/>
        <v>3685.5</v>
      </c>
      <c r="S20" s="30" t="s">
        <v>9</v>
      </c>
      <c r="T20" s="2">
        <v>3969</v>
      </c>
    </row>
    <row r="21" spans="2:20" x14ac:dyDescent="0.3">
      <c r="B21" s="13">
        <v>44384</v>
      </c>
      <c r="C21" s="4" t="s">
        <v>9</v>
      </c>
      <c r="D21" s="4" t="s">
        <v>12</v>
      </c>
      <c r="E21" s="5">
        <v>700</v>
      </c>
      <c r="F21" s="6">
        <v>7000</v>
      </c>
      <c r="G21" s="6">
        <f t="shared" si="0"/>
        <v>3031</v>
      </c>
      <c r="H21" s="7">
        <f t="shared" si="1"/>
        <v>3969</v>
      </c>
      <c r="S21" s="16">
        <v>44385</v>
      </c>
      <c r="T21" s="2">
        <v>5471.55</v>
      </c>
    </row>
    <row r="22" spans="2:20" x14ac:dyDescent="0.3">
      <c r="B22" s="13">
        <v>44384</v>
      </c>
      <c r="C22" s="4" t="s">
        <v>8</v>
      </c>
      <c r="D22" s="4" t="s">
        <v>13</v>
      </c>
      <c r="E22" s="5">
        <v>250</v>
      </c>
      <c r="F22" s="6">
        <v>2500</v>
      </c>
      <c r="G22" s="6">
        <f t="shared" si="0"/>
        <v>1082.5</v>
      </c>
      <c r="H22" s="7">
        <f t="shared" si="1"/>
        <v>1417.5</v>
      </c>
      <c r="S22" s="30" t="s">
        <v>8</v>
      </c>
      <c r="T22" s="2">
        <v>708.75</v>
      </c>
    </row>
    <row r="23" spans="2:20" x14ac:dyDescent="0.3">
      <c r="B23" s="13">
        <v>44385</v>
      </c>
      <c r="C23" s="4" t="s">
        <v>8</v>
      </c>
      <c r="D23" s="4" t="s">
        <v>12</v>
      </c>
      <c r="E23" s="5">
        <v>125</v>
      </c>
      <c r="F23" s="6">
        <v>1250</v>
      </c>
      <c r="G23" s="6">
        <f t="shared" si="0"/>
        <v>541.25</v>
      </c>
      <c r="H23" s="7">
        <f t="shared" si="1"/>
        <v>708.75</v>
      </c>
      <c r="S23" s="30" t="s">
        <v>9</v>
      </c>
      <c r="T23" s="2">
        <v>4762.8</v>
      </c>
    </row>
    <row r="24" spans="2:20" x14ac:dyDescent="0.3">
      <c r="B24" s="13">
        <v>44385</v>
      </c>
      <c r="C24" s="4" t="s">
        <v>9</v>
      </c>
      <c r="D24" s="4" t="s">
        <v>12</v>
      </c>
      <c r="E24" s="5">
        <v>170</v>
      </c>
      <c r="F24" s="6">
        <v>1700</v>
      </c>
      <c r="G24" s="6">
        <f t="shared" si="0"/>
        <v>736.1</v>
      </c>
      <c r="H24" s="7">
        <f t="shared" si="1"/>
        <v>963.9</v>
      </c>
      <c r="S24" s="16">
        <v>44386</v>
      </c>
      <c r="T24" s="2">
        <v>4592.7</v>
      </c>
    </row>
    <row r="25" spans="2:20" x14ac:dyDescent="0.3">
      <c r="B25" s="13">
        <v>44385</v>
      </c>
      <c r="C25" s="4" t="s">
        <v>9</v>
      </c>
      <c r="D25" s="4" t="s">
        <v>13</v>
      </c>
      <c r="E25" s="5">
        <v>670</v>
      </c>
      <c r="F25" s="6">
        <v>6700</v>
      </c>
      <c r="G25" s="6">
        <f t="shared" si="0"/>
        <v>2901.1</v>
      </c>
      <c r="H25" s="7">
        <f t="shared" si="1"/>
        <v>3798.9</v>
      </c>
      <c r="S25" s="30" t="s">
        <v>10</v>
      </c>
      <c r="T25" s="2">
        <v>283.5</v>
      </c>
    </row>
    <row r="26" spans="2:20" x14ac:dyDescent="0.3">
      <c r="B26" s="13">
        <v>44386</v>
      </c>
      <c r="C26" s="4" t="s">
        <v>7</v>
      </c>
      <c r="D26" s="4" t="s">
        <v>15</v>
      </c>
      <c r="E26" s="5">
        <v>760</v>
      </c>
      <c r="F26" s="6">
        <v>7600</v>
      </c>
      <c r="G26" s="6">
        <f t="shared" si="0"/>
        <v>3290.8</v>
      </c>
      <c r="H26" s="7">
        <f t="shared" si="1"/>
        <v>4309.2</v>
      </c>
      <c r="S26" s="30" t="s">
        <v>7</v>
      </c>
      <c r="T26" s="2">
        <v>4309.2</v>
      </c>
    </row>
    <row r="27" spans="2:20" ht="15" thickBot="1" x14ac:dyDescent="0.35">
      <c r="B27" s="14">
        <v>44386</v>
      </c>
      <c r="C27" s="8" t="s">
        <v>10</v>
      </c>
      <c r="D27" s="8" t="s">
        <v>14</v>
      </c>
      <c r="E27" s="9">
        <v>50</v>
      </c>
      <c r="F27" s="10">
        <v>500</v>
      </c>
      <c r="G27" s="10">
        <f t="shared" si="0"/>
        <v>216.5</v>
      </c>
      <c r="H27" s="11">
        <f t="shared" si="1"/>
        <v>283.5</v>
      </c>
      <c r="S27" s="16" t="s">
        <v>17</v>
      </c>
      <c r="T27" s="2">
        <v>97042.05</v>
      </c>
    </row>
    <row r="28" spans="2:20" x14ac:dyDescent="0.3">
      <c r="B28" s="12"/>
      <c r="C28" s="1"/>
      <c r="D28" s="1"/>
      <c r="E28" s="17"/>
      <c r="F28" s="2"/>
      <c r="G28" s="1"/>
      <c r="H28" s="1"/>
    </row>
    <row r="29" spans="2:20" x14ac:dyDescent="0.3">
      <c r="B29" s="12"/>
      <c r="C29" s="1"/>
      <c r="D29" s="1"/>
      <c r="E29" s="3"/>
      <c r="F29" s="2"/>
      <c r="G29" s="1"/>
      <c r="H29"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53DBE4-92B4-4486-B2C7-F7457443A2FC}">
  <dimension ref="B1:H28"/>
  <sheetViews>
    <sheetView workbookViewId="0">
      <selection activeCell="K21" sqref="K21"/>
    </sheetView>
  </sheetViews>
  <sheetFormatPr defaultRowHeight="14.4" x14ac:dyDescent="0.3"/>
  <cols>
    <col min="5" max="5" width="12" bestFit="1" customWidth="1"/>
    <col min="6" max="6" width="13.109375" bestFit="1" customWidth="1"/>
    <col min="7" max="7" width="12.33203125" customWidth="1"/>
    <col min="8" max="8" width="10" bestFit="1" customWidth="1"/>
    <col min="9" max="9" width="2.5546875" customWidth="1"/>
  </cols>
  <sheetData>
    <row r="1" spans="2:8" ht="15" thickBot="1" x14ac:dyDescent="0.35">
      <c r="B1" s="12"/>
      <c r="C1" s="1"/>
      <c r="D1" s="1"/>
      <c r="E1" s="3"/>
      <c r="F1" s="2"/>
      <c r="G1" s="1"/>
      <c r="H1" s="1"/>
    </row>
    <row r="2" spans="2:8" x14ac:dyDescent="0.3">
      <c r="B2" s="18" t="s">
        <v>0</v>
      </c>
      <c r="C2" s="19" t="s">
        <v>1</v>
      </c>
      <c r="D2" s="19" t="s">
        <v>2</v>
      </c>
      <c r="E2" s="20" t="s">
        <v>3</v>
      </c>
      <c r="F2" s="21" t="s">
        <v>4</v>
      </c>
      <c r="G2" s="19" t="s">
        <v>5</v>
      </c>
      <c r="H2" s="22" t="s">
        <v>6</v>
      </c>
    </row>
    <row r="3" spans="2:8" x14ac:dyDescent="0.3">
      <c r="B3" s="13">
        <v>44378</v>
      </c>
      <c r="C3" s="4" t="s">
        <v>7</v>
      </c>
      <c r="D3" s="4" t="s">
        <v>12</v>
      </c>
      <c r="E3" s="5">
        <v>1000</v>
      </c>
      <c r="F3" s="6">
        <v>10000</v>
      </c>
      <c r="G3" s="6">
        <f>E3*4.33</f>
        <v>4330</v>
      </c>
      <c r="H3" s="7">
        <f>F3-G3</f>
        <v>5670</v>
      </c>
    </row>
    <row r="4" spans="2:8" x14ac:dyDescent="0.3">
      <c r="B4" s="13">
        <v>44378</v>
      </c>
      <c r="C4" s="4" t="s">
        <v>11</v>
      </c>
      <c r="D4" s="4" t="s">
        <v>12</v>
      </c>
      <c r="E4" s="5">
        <v>250</v>
      </c>
      <c r="F4" s="6">
        <v>2500</v>
      </c>
      <c r="G4" s="6">
        <f t="shared" ref="G4:G26" si="0">E4*4.33</f>
        <v>1082.5</v>
      </c>
      <c r="H4" s="7">
        <f t="shared" ref="H4:H26" si="1">F4-G4</f>
        <v>1417.5</v>
      </c>
    </row>
    <row r="5" spans="2:8" x14ac:dyDescent="0.3">
      <c r="B5" s="13">
        <v>44378</v>
      </c>
      <c r="C5" s="4" t="s">
        <v>10</v>
      </c>
      <c r="D5" s="4" t="s">
        <v>13</v>
      </c>
      <c r="E5" s="5">
        <v>1200</v>
      </c>
      <c r="F5" s="6">
        <v>12000</v>
      </c>
      <c r="G5" s="6">
        <f t="shared" si="0"/>
        <v>5196</v>
      </c>
      <c r="H5" s="7">
        <f t="shared" si="1"/>
        <v>6804</v>
      </c>
    </row>
    <row r="6" spans="2:8" x14ac:dyDescent="0.3">
      <c r="B6" s="13">
        <v>44378</v>
      </c>
      <c r="C6" s="4" t="s">
        <v>7</v>
      </c>
      <c r="D6" s="4" t="s">
        <v>13</v>
      </c>
      <c r="E6" s="5">
        <v>200</v>
      </c>
      <c r="F6" s="6">
        <v>2000</v>
      </c>
      <c r="G6" s="6">
        <f t="shared" si="0"/>
        <v>866</v>
      </c>
      <c r="H6" s="7">
        <f t="shared" si="1"/>
        <v>1134</v>
      </c>
    </row>
    <row r="7" spans="2:8" x14ac:dyDescent="0.3">
      <c r="B7" s="13">
        <v>44379</v>
      </c>
      <c r="C7" s="4" t="s">
        <v>8</v>
      </c>
      <c r="D7" s="4" t="s">
        <v>12</v>
      </c>
      <c r="E7" s="5">
        <v>1700</v>
      </c>
      <c r="F7" s="6">
        <v>17000</v>
      </c>
      <c r="G7" s="6">
        <f t="shared" si="0"/>
        <v>7361</v>
      </c>
      <c r="H7" s="7">
        <f t="shared" si="1"/>
        <v>9639</v>
      </c>
    </row>
    <row r="8" spans="2:8" x14ac:dyDescent="0.3">
      <c r="B8" s="13">
        <v>44379</v>
      </c>
      <c r="C8" s="4" t="s">
        <v>9</v>
      </c>
      <c r="D8" s="4" t="s">
        <v>14</v>
      </c>
      <c r="E8" s="5">
        <v>500</v>
      </c>
      <c r="F8" s="6">
        <v>5000</v>
      </c>
      <c r="G8" s="6">
        <f t="shared" si="0"/>
        <v>2165</v>
      </c>
      <c r="H8" s="7">
        <f t="shared" si="1"/>
        <v>2835</v>
      </c>
    </row>
    <row r="9" spans="2:8" x14ac:dyDescent="0.3">
      <c r="B9" s="13">
        <v>44379</v>
      </c>
      <c r="C9" s="4" t="s">
        <v>10</v>
      </c>
      <c r="D9" s="4" t="s">
        <v>13</v>
      </c>
      <c r="E9" s="5">
        <v>1230</v>
      </c>
      <c r="F9" s="6">
        <v>12300</v>
      </c>
      <c r="G9" s="6">
        <f t="shared" si="0"/>
        <v>5325.9</v>
      </c>
      <c r="H9" s="7">
        <f t="shared" si="1"/>
        <v>6974.1</v>
      </c>
    </row>
    <row r="10" spans="2:8" x14ac:dyDescent="0.3">
      <c r="B10" s="13">
        <v>44379</v>
      </c>
      <c r="C10" s="4" t="s">
        <v>10</v>
      </c>
      <c r="D10" s="4" t="s">
        <v>12</v>
      </c>
      <c r="E10" s="5">
        <v>2560</v>
      </c>
      <c r="F10" s="6">
        <v>25600</v>
      </c>
      <c r="G10" s="6">
        <f t="shared" si="0"/>
        <v>11084.8</v>
      </c>
      <c r="H10" s="7">
        <f t="shared" si="1"/>
        <v>14515.2</v>
      </c>
    </row>
    <row r="11" spans="2:8" x14ac:dyDescent="0.3">
      <c r="B11" s="13">
        <v>44383</v>
      </c>
      <c r="C11" s="4" t="s">
        <v>11</v>
      </c>
      <c r="D11" s="4" t="s">
        <v>12</v>
      </c>
      <c r="E11" s="5">
        <v>900</v>
      </c>
      <c r="F11" s="6">
        <v>9000</v>
      </c>
      <c r="G11" s="6">
        <f t="shared" si="0"/>
        <v>3897</v>
      </c>
      <c r="H11" s="7">
        <f t="shared" si="1"/>
        <v>5103</v>
      </c>
    </row>
    <row r="12" spans="2:8" x14ac:dyDescent="0.3">
      <c r="B12" s="13">
        <v>44383</v>
      </c>
      <c r="C12" s="4" t="s">
        <v>7</v>
      </c>
      <c r="D12" s="4" t="s">
        <v>12</v>
      </c>
      <c r="E12" s="5">
        <v>750</v>
      </c>
      <c r="F12" s="6">
        <v>7500</v>
      </c>
      <c r="G12" s="6">
        <f t="shared" si="0"/>
        <v>3247.5</v>
      </c>
      <c r="H12" s="7">
        <f t="shared" si="1"/>
        <v>4252.5</v>
      </c>
    </row>
    <row r="13" spans="2:8" x14ac:dyDescent="0.3">
      <c r="B13" s="13">
        <v>44383</v>
      </c>
      <c r="C13" s="4" t="s">
        <v>7</v>
      </c>
      <c r="D13" s="4" t="s">
        <v>13</v>
      </c>
      <c r="E13" s="5">
        <v>300</v>
      </c>
      <c r="F13" s="6">
        <v>3000</v>
      </c>
      <c r="G13" s="6">
        <f t="shared" si="0"/>
        <v>1299</v>
      </c>
      <c r="H13" s="7">
        <f t="shared" si="1"/>
        <v>1701</v>
      </c>
    </row>
    <row r="14" spans="2:8" x14ac:dyDescent="0.3">
      <c r="B14" s="13">
        <v>44383</v>
      </c>
      <c r="C14" s="4" t="s">
        <v>9</v>
      </c>
      <c r="D14" s="4" t="s">
        <v>15</v>
      </c>
      <c r="E14" s="5">
        <v>1200</v>
      </c>
      <c r="F14" s="6">
        <v>12000</v>
      </c>
      <c r="G14" s="6">
        <f t="shared" si="0"/>
        <v>5196</v>
      </c>
      <c r="H14" s="7">
        <f t="shared" si="1"/>
        <v>6804</v>
      </c>
    </row>
    <row r="15" spans="2:8" x14ac:dyDescent="0.3">
      <c r="B15" s="13">
        <v>44383</v>
      </c>
      <c r="C15" s="4" t="s">
        <v>9</v>
      </c>
      <c r="D15" s="4" t="s">
        <v>12</v>
      </c>
      <c r="E15" s="5">
        <v>400</v>
      </c>
      <c r="F15" s="6">
        <v>4000</v>
      </c>
      <c r="G15" s="6">
        <f t="shared" si="0"/>
        <v>1732</v>
      </c>
      <c r="H15" s="7">
        <f t="shared" si="1"/>
        <v>2268</v>
      </c>
    </row>
    <row r="16" spans="2:8" x14ac:dyDescent="0.3">
      <c r="B16" s="13">
        <v>44383</v>
      </c>
      <c r="C16" s="4" t="s">
        <v>8</v>
      </c>
      <c r="D16" s="4" t="s">
        <v>14</v>
      </c>
      <c r="E16" s="5">
        <v>300</v>
      </c>
      <c r="F16" s="6">
        <v>3000</v>
      </c>
      <c r="G16" s="6">
        <f t="shared" si="0"/>
        <v>1299</v>
      </c>
      <c r="H16" s="7">
        <f t="shared" si="1"/>
        <v>1701</v>
      </c>
    </row>
    <row r="17" spans="2:8" x14ac:dyDescent="0.3">
      <c r="B17" s="13">
        <v>44384</v>
      </c>
      <c r="C17" s="4" t="s">
        <v>7</v>
      </c>
      <c r="D17" s="4" t="s">
        <v>13</v>
      </c>
      <c r="E17" s="5">
        <v>450</v>
      </c>
      <c r="F17" s="6">
        <v>4500</v>
      </c>
      <c r="G17" s="6">
        <f t="shared" si="0"/>
        <v>1948.5</v>
      </c>
      <c r="H17" s="7">
        <f t="shared" si="1"/>
        <v>2551.5</v>
      </c>
    </row>
    <row r="18" spans="2:8" x14ac:dyDescent="0.3">
      <c r="B18" s="13">
        <v>44384</v>
      </c>
      <c r="C18" s="4" t="s">
        <v>10</v>
      </c>
      <c r="D18" s="4" t="s">
        <v>12</v>
      </c>
      <c r="E18" s="5">
        <v>800</v>
      </c>
      <c r="F18" s="6">
        <v>8000</v>
      </c>
      <c r="G18" s="6">
        <f t="shared" si="0"/>
        <v>3464</v>
      </c>
      <c r="H18" s="7">
        <f t="shared" si="1"/>
        <v>4536</v>
      </c>
    </row>
    <row r="19" spans="2:8" x14ac:dyDescent="0.3">
      <c r="B19" s="13">
        <v>44384</v>
      </c>
      <c r="C19" s="4" t="s">
        <v>10</v>
      </c>
      <c r="D19" s="4" t="s">
        <v>12</v>
      </c>
      <c r="E19" s="5">
        <v>650</v>
      </c>
      <c r="F19" s="6">
        <v>6500</v>
      </c>
      <c r="G19" s="6">
        <f t="shared" si="0"/>
        <v>2814.5</v>
      </c>
      <c r="H19" s="7">
        <f t="shared" si="1"/>
        <v>3685.5</v>
      </c>
    </row>
    <row r="20" spans="2:8" x14ac:dyDescent="0.3">
      <c r="B20" s="13">
        <v>44384</v>
      </c>
      <c r="C20" s="4" t="s">
        <v>9</v>
      </c>
      <c r="D20" s="4" t="s">
        <v>12</v>
      </c>
      <c r="E20" s="5">
        <v>700</v>
      </c>
      <c r="F20" s="6">
        <v>7000</v>
      </c>
      <c r="G20" s="6">
        <f t="shared" si="0"/>
        <v>3031</v>
      </c>
      <c r="H20" s="7">
        <f t="shared" si="1"/>
        <v>3969</v>
      </c>
    </row>
    <row r="21" spans="2:8" x14ac:dyDescent="0.3">
      <c r="B21" s="13">
        <v>44384</v>
      </c>
      <c r="C21" s="4" t="s">
        <v>8</v>
      </c>
      <c r="D21" s="4" t="s">
        <v>13</v>
      </c>
      <c r="E21" s="5">
        <v>250</v>
      </c>
      <c r="F21" s="6">
        <v>2500</v>
      </c>
      <c r="G21" s="6">
        <f t="shared" si="0"/>
        <v>1082.5</v>
      </c>
      <c r="H21" s="7">
        <f t="shared" si="1"/>
        <v>1417.5</v>
      </c>
    </row>
    <row r="22" spans="2:8" x14ac:dyDescent="0.3">
      <c r="B22" s="13">
        <v>44385</v>
      </c>
      <c r="C22" s="4" t="s">
        <v>8</v>
      </c>
      <c r="D22" s="4" t="s">
        <v>12</v>
      </c>
      <c r="E22" s="5">
        <v>125</v>
      </c>
      <c r="F22" s="6">
        <v>1250</v>
      </c>
      <c r="G22" s="6">
        <f t="shared" si="0"/>
        <v>541.25</v>
      </c>
      <c r="H22" s="7">
        <f t="shared" si="1"/>
        <v>708.75</v>
      </c>
    </row>
    <row r="23" spans="2:8" x14ac:dyDescent="0.3">
      <c r="B23" s="13">
        <v>44385</v>
      </c>
      <c r="C23" s="4" t="s">
        <v>9</v>
      </c>
      <c r="D23" s="4" t="s">
        <v>12</v>
      </c>
      <c r="E23" s="5">
        <v>170</v>
      </c>
      <c r="F23" s="6">
        <v>1700</v>
      </c>
      <c r="G23" s="6">
        <f t="shared" si="0"/>
        <v>736.1</v>
      </c>
      <c r="H23" s="7">
        <f t="shared" si="1"/>
        <v>963.9</v>
      </c>
    </row>
    <row r="24" spans="2:8" x14ac:dyDescent="0.3">
      <c r="B24" s="13">
        <v>44385</v>
      </c>
      <c r="C24" s="4" t="s">
        <v>9</v>
      </c>
      <c r="D24" s="4" t="s">
        <v>13</v>
      </c>
      <c r="E24" s="5">
        <v>670</v>
      </c>
      <c r="F24" s="6">
        <v>6700</v>
      </c>
      <c r="G24" s="6">
        <f t="shared" si="0"/>
        <v>2901.1</v>
      </c>
      <c r="H24" s="7">
        <f t="shared" si="1"/>
        <v>3798.9</v>
      </c>
    </row>
    <row r="25" spans="2:8" x14ac:dyDescent="0.3">
      <c r="B25" s="13">
        <v>44386</v>
      </c>
      <c r="C25" s="4" t="s">
        <v>7</v>
      </c>
      <c r="D25" s="4" t="s">
        <v>15</v>
      </c>
      <c r="E25" s="5">
        <v>760</v>
      </c>
      <c r="F25" s="6">
        <v>7600</v>
      </c>
      <c r="G25" s="6">
        <f t="shared" si="0"/>
        <v>3290.8</v>
      </c>
      <c r="H25" s="7">
        <f t="shared" si="1"/>
        <v>4309.2</v>
      </c>
    </row>
    <row r="26" spans="2:8" ht="15" thickBot="1" x14ac:dyDescent="0.35">
      <c r="B26" s="14">
        <v>44386</v>
      </c>
      <c r="C26" s="8" t="s">
        <v>10</v>
      </c>
      <c r="D26" s="8" t="s">
        <v>14</v>
      </c>
      <c r="E26" s="9">
        <v>50</v>
      </c>
      <c r="F26" s="10">
        <v>500</v>
      </c>
      <c r="G26" s="10">
        <f t="shared" si="0"/>
        <v>216.5</v>
      </c>
      <c r="H26" s="11">
        <f t="shared" si="1"/>
        <v>283.5</v>
      </c>
    </row>
    <row r="27" spans="2:8" x14ac:dyDescent="0.3">
      <c r="B27" s="12"/>
      <c r="C27" s="1"/>
      <c r="D27" s="1"/>
      <c r="E27" s="17"/>
      <c r="F27" s="2"/>
      <c r="G27" s="1"/>
      <c r="H27" s="1"/>
    </row>
    <row r="28" spans="2:8" x14ac:dyDescent="0.3">
      <c r="B28" s="12"/>
      <c r="C28" s="1"/>
      <c r="D28" s="1"/>
      <c r="E28" s="3"/>
      <c r="F28" s="2"/>
      <c r="G28" s="1"/>
      <c r="H28"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All Sales Final</vt:lpstr>
      <vt:lpstr>All Sales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 S</dc:creator>
  <cp:lastModifiedBy>Ranjeet Kumar</cp:lastModifiedBy>
  <dcterms:created xsi:type="dcterms:W3CDTF">2021-07-08T18:52:22Z</dcterms:created>
  <dcterms:modified xsi:type="dcterms:W3CDTF">2025-11-17T08:49:27Z</dcterms:modified>
</cp:coreProperties>
</file>