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nje\OneDrive\Documents\"/>
    </mc:Choice>
  </mc:AlternateContent>
  <xr:revisionPtr revIDLastSave="0" documentId="13_ncr:1_{0FA5DBFC-D8CA-4881-B0CD-E7F5810DCF82}" xr6:coauthVersionLast="47" xr6:coauthVersionMax="47" xr10:uidLastSave="{00000000-0000-0000-0000-000000000000}"/>
  <bookViews>
    <workbookView xWindow="-108" yWindow="-108" windowWidth="23256" windowHeight="12456" activeTab="1" xr2:uid="{A644EC66-AB20-46B0-86F5-BF5CDB58357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I27" i="3"/>
  <c r="K14" i="4"/>
  <c r="K9" i="4"/>
  <c r="K20" i="3"/>
  <c r="K15" i="3"/>
  <c r="D20" i="2"/>
  <c r="H20" i="2"/>
  <c r="K20" i="2"/>
  <c r="L19" i="1"/>
  <c r="H19" i="1"/>
  <c r="O19" i="1"/>
</calcChain>
</file>

<file path=xl/sharedStrings.xml><?xml version="1.0" encoding="utf-8"?>
<sst xmlns="http://schemas.openxmlformats.org/spreadsheetml/2006/main" count="487" uniqueCount="71">
  <si>
    <t>Dept ID</t>
  </si>
  <si>
    <t>Teacher</t>
  </si>
  <si>
    <t>Kalyan</t>
  </si>
  <si>
    <t>Raman</t>
  </si>
  <si>
    <t>Karan</t>
  </si>
  <si>
    <t>Rohan</t>
  </si>
  <si>
    <t>Tulsi</t>
  </si>
  <si>
    <t>Mithlesh</t>
  </si>
  <si>
    <t>Kundan</t>
  </si>
  <si>
    <t>Sonam</t>
  </si>
  <si>
    <t>Rink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</si>
  <si>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</si>
  <si>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</si>
  <si>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</si>
  <si>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</si>
  <si>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</si>
  <si>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</si>
  <si>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</si>
  <si>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</si>
  <si>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</si>
  <si>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Nitish</t>
  </si>
  <si>
    <t>Seema</t>
  </si>
  <si>
    <t>Komal</t>
  </si>
  <si>
    <t>Sudhir</t>
  </si>
  <si>
    <t>Sohan</t>
  </si>
  <si>
    <t>Ritik</t>
  </si>
  <si>
    <t>Chandan</t>
  </si>
  <si>
    <t>Punit</t>
  </si>
  <si>
    <t>Student Name</t>
  </si>
  <si>
    <t>Pinky</t>
  </si>
  <si>
    <t>D10</t>
  </si>
  <si>
    <t>Name  of HOD</t>
  </si>
  <si>
    <t>Subject Name</t>
  </si>
  <si>
    <t>Maths</t>
  </si>
  <si>
    <t>English</t>
  </si>
  <si>
    <t>Hindi</t>
  </si>
  <si>
    <t>Sanskrit</t>
  </si>
  <si>
    <t>S Duration</t>
  </si>
  <si>
    <t>1 years</t>
  </si>
  <si>
    <t>6 Months</t>
  </si>
  <si>
    <t>1 year</t>
  </si>
  <si>
    <t>2 Years</t>
  </si>
  <si>
    <t>Student and Get S Duration</t>
  </si>
  <si>
    <t>Student name found HOD Name</t>
  </si>
  <si>
    <t>Dept ID TO Subject Name</t>
  </si>
  <si>
    <t>Nested Hlookup</t>
  </si>
  <si>
    <t>Student name find S duration</t>
  </si>
  <si>
    <t>Hlookup</t>
  </si>
  <si>
    <t>Dept ID To Subject Name</t>
  </si>
  <si>
    <t>Student Name Found HOD Name</t>
  </si>
  <si>
    <t>Credit</t>
  </si>
  <si>
    <t>Nested Vlookup</t>
  </si>
  <si>
    <t>Vlookup</t>
  </si>
  <si>
    <t>DR. sumit</t>
  </si>
  <si>
    <t>Prof. komal</t>
  </si>
  <si>
    <t xml:space="preserve"> DR. Suman</t>
  </si>
  <si>
    <t>Prof. Ritik</t>
  </si>
  <si>
    <t>DR. Anuj</t>
  </si>
  <si>
    <t>Prof. Veg</t>
  </si>
  <si>
    <t>DR. Rinki</t>
  </si>
  <si>
    <t>Prof. Manoj</t>
  </si>
  <si>
    <t>DR. Saroj</t>
  </si>
  <si>
    <t>Prof. Rihan</t>
  </si>
  <si>
    <t>Department &amp; HOD</t>
  </si>
  <si>
    <t xml:space="preserve">HOD Details  </t>
  </si>
  <si>
    <t>Subject Information</t>
  </si>
  <si>
    <t>Student And Teacher Table</t>
  </si>
  <si>
    <t xml:space="preserve"> </t>
  </si>
  <si>
    <t>vlookup</t>
  </si>
  <si>
    <t>Nested Vlookup Hlookup</t>
  </si>
  <si>
    <t>Nested Hlookup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</si>
</sst>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entury Gothic"/>
      <family val="2"/>
      <scheme val="minor"/>
    </font>
    <font>
      <sz val="11"/>
      <color theme="0" tint="-4.9989318521683403E-2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color theme="5" tint="-0.249977111117893"/>
      <name val="Century Gothic"/>
      <family val="2"/>
      <scheme val="minor"/>
    </font>
    <font>
      <b/>
      <sz val="11"/>
      <color theme="8"/>
      <name val="Century Gothic"/>
      <family val="2"/>
      <scheme val="minor"/>
    </font>
    <font>
      <b/>
      <sz val="11"/>
      <color theme="5"/>
      <name val="Century Gothic"/>
      <family val="2"/>
      <scheme val="minor"/>
    </font>
    <font>
      <b/>
      <sz val="11"/>
      <color theme="0" tint="-4.9989318521683403E-2"/>
      <name val="Century Gothic"/>
      <family val="2"/>
      <scheme val="minor"/>
    </font>
    <font>
      <b/>
      <sz val="11"/>
      <color rgb="FF7030A0"/>
      <name val="Century Gothic"/>
      <family val="2"/>
      <scheme val="minor"/>
    </font>
    <font>
      <sz val="11"/>
      <color theme="8" tint="-0.499984740745262"/>
      <name val="Century Gothic"/>
      <family val="2"/>
      <scheme val="minor"/>
    </font>
    <font>
      <b/>
      <sz val="14"/>
      <color theme="5"/>
      <name val="Century Gothic"/>
      <family val="2"/>
      <scheme val="minor"/>
    </font>
    <font>
      <sz val="14"/>
      <color theme="0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6"/>
      <color theme="1"/>
      <name val="Century Gothic"/>
      <family val="2"/>
      <scheme val="minor"/>
    </font>
    <font>
      <sz val="16"/>
      <color theme="8" tint="-0.499984740745262"/>
      <name val="Century Gothic"/>
      <family val="2"/>
      <scheme val="minor"/>
    </font>
    <font>
      <sz val="16"/>
      <color theme="0"/>
      <name val="Century Gothic"/>
      <family val="2"/>
      <scheme val="minor"/>
    </font>
    <font>
      <sz val="14"/>
      <color theme="8" tint="-0.249977111117893"/>
      <name val="Century Gothic"/>
      <family val="2"/>
      <scheme val="minor"/>
    </font>
    <font>
      <b/>
      <sz val="10"/>
      <color theme="8"/>
      <name val="Century Gothic"/>
      <family val="2"/>
      <scheme val="minor"/>
    </font>
    <font>
      <b/>
      <sz val="16"/>
      <color rgb="FF00B0F0"/>
      <name val="Bahnschrift SemiBold SemiConden"/>
      <family val="2"/>
    </font>
    <font>
      <b/>
      <sz val="11"/>
      <color rgb="FF00B0F0"/>
      <name val="Bahnschrift SemiBold SemiConden"/>
      <family val="2"/>
    </font>
    <font>
      <b/>
      <sz val="14"/>
      <color rgb="FF00B0F0"/>
      <name val="Bahnschrift SemiBold SemiConden"/>
      <family val="2"/>
    </font>
    <font>
      <b/>
      <sz val="22"/>
      <color rgb="FF00B0F0"/>
      <name val="Bahnschrift SemiBold SemiConden"/>
      <family val="2"/>
    </font>
    <font>
      <b/>
      <sz val="18"/>
      <color rgb="FF00B0F0"/>
      <name val="Bahnschrift SemiBold SemiConden"/>
      <family val="2"/>
    </font>
    <font>
      <b/>
      <sz val="14"/>
      <color theme="9" tint="-0.249977111117893"/>
      <name val="Century Gothic"/>
      <family val="2"/>
      <scheme val="minor"/>
    </font>
    <font>
      <sz val="11"/>
      <color rgb="FF7030A0"/>
      <name val="Century Gothic"/>
      <family val="2"/>
      <scheme val="minor"/>
    </font>
    <font>
      <b/>
      <sz val="12"/>
      <color rgb="FF7030A0"/>
      <name val="Century Gothic"/>
      <family val="2"/>
      <scheme val="minor"/>
    </font>
    <font>
      <b/>
      <sz val="18"/>
      <color rgb="FF7030A0"/>
      <name val="Century Gothic"/>
      <family val="2"/>
      <scheme val="minor"/>
    </font>
    <font>
      <b/>
      <sz val="22"/>
      <color rgb="FF7030A0"/>
      <name val="Century Gothic"/>
      <family val="2"/>
      <scheme val="minor"/>
    </font>
    <font>
      <b/>
      <sz val="10"/>
      <color rgb="FF7030A0"/>
      <name val="Century Gothic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4" borderId="1" xfId="0" applyFill="1" applyBorder="1"/>
    <xf numFmtId="0" fontId="2" fillId="5" borderId="1" xfId="0" applyFont="1" applyFill="1" applyBorder="1"/>
    <xf numFmtId="0" fontId="5" fillId="6" borderId="1" xfId="0" applyFont="1" applyFill="1" applyBorder="1"/>
    <xf numFmtId="0" fontId="2" fillId="9" borderId="0" xfId="0" applyFont="1" applyFill="1"/>
    <xf numFmtId="0" fontId="5" fillId="6" borderId="3" xfId="0" applyFont="1" applyFill="1" applyBorder="1"/>
    <xf numFmtId="0" fontId="9" fillId="6" borderId="1" xfId="0" applyFont="1" applyFill="1" applyBorder="1"/>
    <xf numFmtId="0" fontId="10" fillId="5" borderId="1" xfId="0" applyFont="1" applyFill="1" applyBorder="1"/>
    <xf numFmtId="0" fontId="12" fillId="4" borderId="1" xfId="0" applyFont="1" applyFill="1" applyBorder="1"/>
    <xf numFmtId="0" fontId="14" fillId="5" borderId="1" xfId="0" applyFont="1" applyFill="1" applyBorder="1"/>
    <xf numFmtId="0" fontId="11" fillId="4" borderId="1" xfId="0" applyFont="1" applyFill="1" applyBorder="1"/>
    <xf numFmtId="0" fontId="1" fillId="10" borderId="0" xfId="0" applyFont="1" applyFill="1"/>
    <xf numFmtId="0" fontId="3" fillId="11" borderId="0" xfId="0" applyFont="1" applyFill="1"/>
    <xf numFmtId="0" fontId="5" fillId="12" borderId="1" xfId="0" applyFont="1" applyFill="1" applyBorder="1"/>
    <xf numFmtId="0" fontId="2" fillId="5" borderId="2" xfId="0" applyFont="1" applyFill="1" applyBorder="1"/>
    <xf numFmtId="0" fontId="2" fillId="5" borderId="0" xfId="0" applyFont="1" applyFill="1"/>
    <xf numFmtId="0" fontId="0" fillId="0" borderId="0" xfId="0" applyAlignment="1">
      <alignment vertical="center"/>
    </xf>
    <xf numFmtId="0" fontId="2" fillId="3" borderId="0" xfId="0" applyFont="1" applyFill="1"/>
    <xf numFmtId="0" fontId="2" fillId="7" borderId="0" xfId="0" applyFont="1" applyFill="1"/>
    <xf numFmtId="0" fontId="2" fillId="14" borderId="0" xfId="0" applyFont="1" applyFill="1"/>
    <xf numFmtId="0" fontId="17" fillId="8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26" fillId="14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4" xfId="0" applyFont="1" applyFill="1" applyBorder="1" applyAlignment="1">
      <alignment horizontal="center"/>
    </xf>
    <xf numFmtId="0" fontId="25" fillId="14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3" fillId="14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24" fillId="14" borderId="0" xfId="0" applyFont="1" applyFill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Milk Glass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99C5-F73D-40E2-94CB-EF3C482C1BEF}">
  <dimension ref="A1:P19"/>
  <sheetViews>
    <sheetView workbookViewId="0">
      <selection activeCell="K19" sqref="K19"/>
    </sheetView>
  </sheetViews>
  <sheetFormatPr defaultRowHeight="13.8" x14ac:dyDescent="0.25"/>
  <cols>
    <col min="1" max="1" width="17.09765625" bestFit="1" customWidth="1"/>
    <col min="2" max="2" width="9.19921875" bestFit="1" customWidth="1"/>
    <col min="3" max="3" width="12" bestFit="1" customWidth="1"/>
    <col min="7" max="7" width="13.59765625" bestFit="1" customWidth="1"/>
    <col min="8" max="8" width="15.09765625" customWidth="1"/>
    <col min="10" max="10" width="13.59765625" bestFit="1" customWidth="1"/>
    <col min="11" max="11" width="7.3984375" bestFit="1" customWidth="1"/>
    <col min="12" max="12" width="13.5" bestFit="1" customWidth="1"/>
    <col min="14" max="14" width="13.5" bestFit="1" customWidth="1"/>
    <col min="15" max="15" width="9.69921875" bestFit="1" customWidth="1"/>
    <col min="16" max="16" width="6.19921875" bestFit="1" customWidth="1"/>
  </cols>
  <sheetData>
    <row r="1" spans="1:16" x14ac:dyDescent="0.25">
      <c r="A1" s="20" t="s">
        <v>66</v>
      </c>
      <c r="B1" s="21"/>
      <c r="C1" s="21"/>
      <c r="F1" s="23" t="s">
        <v>63</v>
      </c>
      <c r="G1" s="21"/>
      <c r="J1" s="24" t="s">
        <v>64</v>
      </c>
      <c r="K1" s="21"/>
      <c r="L1" s="21"/>
      <c r="N1" s="25" t="s">
        <v>65</v>
      </c>
      <c r="O1" s="25"/>
      <c r="P1" s="25"/>
    </row>
    <row r="2" spans="1:16" x14ac:dyDescent="0.25">
      <c r="A2" s="22"/>
      <c r="B2" s="22"/>
      <c r="C2" s="22"/>
      <c r="F2" s="22"/>
      <c r="G2" s="22"/>
      <c r="J2" s="22"/>
      <c r="K2" s="22"/>
      <c r="L2" s="22"/>
      <c r="N2" s="25"/>
      <c r="O2" s="25"/>
      <c r="P2" s="25"/>
    </row>
    <row r="3" spans="1:16" ht="17.399999999999999" x14ac:dyDescent="0.3">
      <c r="A3" s="6" t="s">
        <v>28</v>
      </c>
      <c r="B3" s="6" t="s">
        <v>0</v>
      </c>
      <c r="C3" s="6" t="s">
        <v>1</v>
      </c>
      <c r="F3" s="3" t="s">
        <v>0</v>
      </c>
      <c r="G3" s="3" t="s">
        <v>31</v>
      </c>
      <c r="J3" s="3" t="s">
        <v>31</v>
      </c>
      <c r="K3" s="3" t="s">
        <v>0</v>
      </c>
      <c r="L3" s="3" t="s">
        <v>32</v>
      </c>
      <c r="N3" s="3" t="s">
        <v>32</v>
      </c>
      <c r="O3" s="3" t="s">
        <v>37</v>
      </c>
      <c r="P3" s="5" t="s">
        <v>50</v>
      </c>
    </row>
    <row r="4" spans="1:16" ht="16.8" x14ac:dyDescent="0.25">
      <c r="A4" s="7" t="s">
        <v>2</v>
      </c>
      <c r="B4" s="7" t="s">
        <v>11</v>
      </c>
      <c r="C4" s="7" t="s">
        <v>20</v>
      </c>
      <c r="F4" s="2" t="s">
        <v>11</v>
      </c>
      <c r="G4" s="2" t="s">
        <v>53</v>
      </c>
      <c r="J4" s="2" t="s">
        <v>53</v>
      </c>
      <c r="K4" s="2" t="s">
        <v>11</v>
      </c>
      <c r="L4" s="2" t="s">
        <v>33</v>
      </c>
      <c r="N4" s="2" t="s">
        <v>33</v>
      </c>
      <c r="O4" s="2" t="s">
        <v>38</v>
      </c>
      <c r="P4" s="2">
        <v>10</v>
      </c>
    </row>
    <row r="5" spans="1:16" ht="16.8" x14ac:dyDescent="0.25">
      <c r="A5" s="7" t="s">
        <v>3</v>
      </c>
      <c r="B5" s="7" t="s">
        <v>12</v>
      </c>
      <c r="C5" s="7" t="s">
        <v>5</v>
      </c>
      <c r="F5" s="2" t="s">
        <v>12</v>
      </c>
      <c r="G5" s="2" t="s">
        <v>54</v>
      </c>
      <c r="J5" s="2" t="s">
        <v>54</v>
      </c>
      <c r="K5" s="2" t="s">
        <v>12</v>
      </c>
      <c r="L5" s="2" t="s">
        <v>34</v>
      </c>
      <c r="N5" s="2" t="s">
        <v>34</v>
      </c>
      <c r="O5" s="2" t="s">
        <v>39</v>
      </c>
      <c r="P5" s="2">
        <v>12</v>
      </c>
    </row>
    <row r="6" spans="1:16" ht="16.8" x14ac:dyDescent="0.25">
      <c r="A6" s="7" t="s">
        <v>4</v>
      </c>
      <c r="B6" s="7" t="s">
        <v>13</v>
      </c>
      <c r="C6" s="7" t="s">
        <v>21</v>
      </c>
      <c r="F6" s="2" t="s">
        <v>13</v>
      </c>
      <c r="G6" s="2" t="s">
        <v>55</v>
      </c>
      <c r="J6" s="2" t="s">
        <v>55</v>
      </c>
      <c r="K6" s="2" t="s">
        <v>13</v>
      </c>
      <c r="L6" s="2" t="s">
        <v>33</v>
      </c>
      <c r="N6" s="2" t="s">
        <v>33</v>
      </c>
      <c r="O6" s="2" t="s">
        <v>40</v>
      </c>
      <c r="P6" s="2">
        <v>15</v>
      </c>
    </row>
    <row r="7" spans="1:16" ht="16.8" x14ac:dyDescent="0.25">
      <c r="A7" s="7" t="s">
        <v>5</v>
      </c>
      <c r="B7" s="7" t="s">
        <v>14</v>
      </c>
      <c r="C7" s="7" t="s">
        <v>22</v>
      </c>
      <c r="F7" s="2" t="s">
        <v>14</v>
      </c>
      <c r="G7" s="2" t="s">
        <v>56</v>
      </c>
      <c r="J7" s="2" t="s">
        <v>56</v>
      </c>
      <c r="K7" s="2" t="s">
        <v>14</v>
      </c>
      <c r="L7" s="2" t="s">
        <v>35</v>
      </c>
      <c r="N7" s="2" t="s">
        <v>35</v>
      </c>
      <c r="O7" s="2" t="s">
        <v>39</v>
      </c>
      <c r="P7" s="2">
        <v>17</v>
      </c>
    </row>
    <row r="8" spans="1:16" ht="16.8" x14ac:dyDescent="0.25">
      <c r="A8" s="7" t="s">
        <v>6</v>
      </c>
      <c r="B8" s="7" t="s">
        <v>15</v>
      </c>
      <c r="C8" s="7" t="s">
        <v>23</v>
      </c>
      <c r="F8" s="2" t="s">
        <v>15</v>
      </c>
      <c r="G8" s="2" t="s">
        <v>57</v>
      </c>
      <c r="J8" s="2" t="s">
        <v>57</v>
      </c>
      <c r="K8" s="2" t="s">
        <v>15</v>
      </c>
      <c r="L8" s="2" t="s">
        <v>36</v>
      </c>
      <c r="N8" s="2" t="s">
        <v>36</v>
      </c>
      <c r="O8" s="2" t="s">
        <v>41</v>
      </c>
      <c r="P8" s="2">
        <v>24</v>
      </c>
    </row>
    <row r="9" spans="1:16" ht="16.8" x14ac:dyDescent="0.25">
      <c r="A9" s="7" t="s">
        <v>7</v>
      </c>
      <c r="B9" s="7" t="s">
        <v>16</v>
      </c>
      <c r="C9" s="7" t="s">
        <v>24</v>
      </c>
      <c r="F9" s="2" t="s">
        <v>16</v>
      </c>
      <c r="G9" s="2" t="s">
        <v>58</v>
      </c>
      <c r="J9" s="2" t="s">
        <v>58</v>
      </c>
      <c r="K9" s="2" t="s">
        <v>16</v>
      </c>
      <c r="L9" s="2" t="s">
        <v>35</v>
      </c>
      <c r="N9" s="2" t="s">
        <v>35</v>
      </c>
      <c r="O9" s="2" t="s">
        <v>39</v>
      </c>
      <c r="P9" s="2">
        <v>98</v>
      </c>
    </row>
    <row r="10" spans="1:16" ht="16.8" x14ac:dyDescent="0.25">
      <c r="A10" s="7" t="s">
        <v>8</v>
      </c>
      <c r="B10" s="7" t="s">
        <v>17</v>
      </c>
      <c r="C10" s="7" t="s">
        <v>25</v>
      </c>
      <c r="F10" s="2" t="s">
        <v>17</v>
      </c>
      <c r="G10" s="2" t="s">
        <v>59</v>
      </c>
      <c r="J10" s="2" t="s">
        <v>59</v>
      </c>
      <c r="K10" s="2" t="s">
        <v>17</v>
      </c>
      <c r="L10" s="2" t="s">
        <v>34</v>
      </c>
      <c r="N10" s="2" t="s">
        <v>34</v>
      </c>
      <c r="O10" s="2" t="s">
        <v>40</v>
      </c>
      <c r="P10" s="2">
        <v>76</v>
      </c>
    </row>
    <row r="11" spans="1:16" ht="16.8" x14ac:dyDescent="0.25">
      <c r="A11" s="7" t="s">
        <v>9</v>
      </c>
      <c r="B11" s="7" t="s">
        <v>18</v>
      </c>
      <c r="C11" s="7" t="s">
        <v>26</v>
      </c>
      <c r="F11" s="2" t="s">
        <v>18</v>
      </c>
      <c r="G11" s="2" t="s">
        <v>60</v>
      </c>
      <c r="J11" s="2" t="s">
        <v>60</v>
      </c>
      <c r="K11" s="2" t="s">
        <v>18</v>
      </c>
      <c r="L11" s="2" t="s">
        <v>33</v>
      </c>
      <c r="N11" s="2" t="s">
        <v>33</v>
      </c>
      <c r="O11" s="2" t="s">
        <v>40</v>
      </c>
      <c r="P11" s="2">
        <v>42</v>
      </c>
    </row>
    <row r="12" spans="1:16" ht="16.8" x14ac:dyDescent="0.25">
      <c r="A12" s="7" t="s">
        <v>10</v>
      </c>
      <c r="B12" s="7" t="s">
        <v>19</v>
      </c>
      <c r="C12" s="7" t="s">
        <v>27</v>
      </c>
      <c r="F12" s="2" t="s">
        <v>19</v>
      </c>
      <c r="G12" s="2" t="s">
        <v>61</v>
      </c>
      <c r="J12" s="2" t="s">
        <v>61</v>
      </c>
      <c r="K12" s="2" t="s">
        <v>19</v>
      </c>
      <c r="L12" s="2" t="s">
        <v>34</v>
      </c>
      <c r="N12" s="2" t="s">
        <v>34</v>
      </c>
      <c r="O12" s="2" t="s">
        <v>40</v>
      </c>
      <c r="P12" s="2">
        <v>12</v>
      </c>
    </row>
    <row r="13" spans="1:16" ht="16.8" x14ac:dyDescent="0.25">
      <c r="A13" s="7" t="s">
        <v>29</v>
      </c>
      <c r="B13" s="7" t="s">
        <v>30</v>
      </c>
      <c r="C13" s="7" t="s">
        <v>27</v>
      </c>
      <c r="F13" s="2" t="s">
        <v>30</v>
      </c>
      <c r="G13" s="2" t="s">
        <v>62</v>
      </c>
      <c r="J13" s="2" t="s">
        <v>62</v>
      </c>
      <c r="K13" s="2" t="s">
        <v>30</v>
      </c>
      <c r="L13" s="2" t="s">
        <v>36</v>
      </c>
      <c r="N13" s="2" t="s">
        <v>36</v>
      </c>
      <c r="O13" s="2" t="s">
        <v>41</v>
      </c>
      <c r="P13" s="2">
        <v>43</v>
      </c>
    </row>
    <row r="17" spans="6:15" ht="21" x14ac:dyDescent="0.35">
      <c r="F17" s="29" t="s">
        <v>51</v>
      </c>
      <c r="G17" s="29"/>
      <c r="H17" s="29"/>
      <c r="K17" s="30" t="s">
        <v>52</v>
      </c>
      <c r="L17" s="30"/>
      <c r="N17" s="31" t="s">
        <v>51</v>
      </c>
      <c r="O17" s="31"/>
    </row>
    <row r="18" spans="6:15" ht="17.399999999999999" x14ac:dyDescent="0.3">
      <c r="F18" s="27" t="s">
        <v>43</v>
      </c>
      <c r="G18" s="27"/>
      <c r="H18" s="27"/>
      <c r="K18" s="28" t="s">
        <v>44</v>
      </c>
      <c r="L18" s="28"/>
      <c r="N18" s="26" t="s">
        <v>42</v>
      </c>
      <c r="O18" s="26"/>
    </row>
    <row r="19" spans="6:15" ht="21" x14ac:dyDescent="0.35">
      <c r="F19" s="8"/>
      <c r="G19" s="9" t="s">
        <v>4</v>
      </c>
      <c r="H19" s="8" t="str">
        <f>VLOOKUP(VLOOKUP(G19,A4:C13,2,0),F4:G13,2,0)</f>
        <v xml:space="preserve"> DR. Suman</v>
      </c>
      <c r="K19" s="2" t="s">
        <v>18</v>
      </c>
      <c r="L19" s="10" t="str">
        <f>VLOOKUP(K19,K4:L13,2,0)</f>
        <v>Maths</v>
      </c>
      <c r="N19" s="1" t="s">
        <v>6</v>
      </c>
      <c r="O19" s="1" t="str">
        <f>VLOOKUP(VLOOKUP(VLOOKUP(N19,A4:C13,2,0),K4:L13,2,0),N4:O13,2,0)</f>
        <v>2 Years</v>
      </c>
    </row>
  </sheetData>
  <mergeCells count="10">
    <mergeCell ref="A1:C2"/>
    <mergeCell ref="F1:G2"/>
    <mergeCell ref="J1:L2"/>
    <mergeCell ref="N1:P2"/>
    <mergeCell ref="N18:O18"/>
    <mergeCell ref="F18:H18"/>
    <mergeCell ref="K18:L18"/>
    <mergeCell ref="F17:H17"/>
    <mergeCell ref="K17:L17"/>
    <mergeCell ref="N17:O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3225-C591-4882-AFFF-94A78A8E8CEC}">
  <dimension ref="A1:K20"/>
  <sheetViews>
    <sheetView tabSelected="1" zoomScaleNormal="100" workbookViewId="0">
      <selection activeCell="B20" sqref="B20"/>
    </sheetView>
  </sheetViews>
  <sheetFormatPr defaultRowHeight="13.8" x14ac:dyDescent="0.25"/>
  <cols>
    <col min="1" max="1" width="13.59765625" bestFit="1" customWidth="1"/>
    <col min="2" max="2" width="8.796875" bestFit="1" customWidth="1"/>
    <col min="3" max="3" width="10.59765625" bestFit="1" customWidth="1"/>
    <col min="4" max="4" width="10.796875" bestFit="1" customWidth="1"/>
    <col min="5" max="5" width="8.8984375" bestFit="1" customWidth="1"/>
    <col min="6" max="6" width="8.296875" bestFit="1" customWidth="1"/>
    <col min="7" max="7" width="9.19921875" bestFit="1" customWidth="1"/>
    <col min="8" max="8" width="8" customWidth="1"/>
    <col min="9" max="9" width="10.796875" bestFit="1" customWidth="1"/>
    <col min="10" max="10" width="8.3984375" bestFit="1" customWidth="1"/>
    <col min="11" max="11" width="10.09765625" bestFit="1" customWidth="1"/>
  </cols>
  <sheetData>
    <row r="1" spans="1:11" x14ac:dyDescent="0.25">
      <c r="A1" s="13" t="s">
        <v>28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29</v>
      </c>
    </row>
    <row r="2" spans="1:11" x14ac:dyDescent="0.25">
      <c r="A2" s="13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30</v>
      </c>
    </row>
    <row r="3" spans="1:11" x14ac:dyDescent="0.25">
      <c r="A3" s="13" t="s">
        <v>1</v>
      </c>
      <c r="B3" s="2" t="s">
        <v>20</v>
      </c>
      <c r="C3" s="2" t="s">
        <v>5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27</v>
      </c>
    </row>
    <row r="5" spans="1:11" x14ac:dyDescent="0.25">
      <c r="A5" s="13" t="s">
        <v>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30</v>
      </c>
    </row>
    <row r="6" spans="1:11" x14ac:dyDescent="0.25">
      <c r="A6" s="13" t="s">
        <v>31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</row>
    <row r="8" spans="1:11" x14ac:dyDescent="0.25">
      <c r="A8" s="13" t="s">
        <v>31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61</v>
      </c>
      <c r="K8" s="2" t="s">
        <v>62</v>
      </c>
    </row>
    <row r="9" spans="1:11" x14ac:dyDescent="0.25">
      <c r="A9" s="13" t="s">
        <v>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30</v>
      </c>
    </row>
    <row r="10" spans="1:11" x14ac:dyDescent="0.25">
      <c r="A10" s="13" t="s">
        <v>32</v>
      </c>
      <c r="B10" s="2" t="s">
        <v>33</v>
      </c>
      <c r="C10" s="2" t="s">
        <v>34</v>
      </c>
      <c r="D10" s="2" t="s">
        <v>33</v>
      </c>
      <c r="E10" s="2" t="s">
        <v>35</v>
      </c>
      <c r="F10" s="2" t="s">
        <v>36</v>
      </c>
      <c r="G10" s="2" t="s">
        <v>35</v>
      </c>
      <c r="H10" s="2" t="s">
        <v>34</v>
      </c>
      <c r="I10" s="2" t="s">
        <v>33</v>
      </c>
      <c r="J10" s="2" t="s">
        <v>34</v>
      </c>
      <c r="K10" s="2" t="s">
        <v>36</v>
      </c>
    </row>
    <row r="12" spans="1:11" x14ac:dyDescent="0.25">
      <c r="A12" s="13" t="s">
        <v>32</v>
      </c>
      <c r="B12" s="2" t="s">
        <v>33</v>
      </c>
      <c r="C12" s="2" t="s">
        <v>34</v>
      </c>
      <c r="D12" s="2" t="s">
        <v>33</v>
      </c>
      <c r="E12" s="2" t="s">
        <v>35</v>
      </c>
      <c r="F12" s="2" t="s">
        <v>36</v>
      </c>
      <c r="G12" s="2" t="s">
        <v>35</v>
      </c>
      <c r="H12" s="2" t="s">
        <v>34</v>
      </c>
      <c r="I12" s="2" t="s">
        <v>33</v>
      </c>
      <c r="J12" s="2" t="s">
        <v>34</v>
      </c>
      <c r="K12" s="2" t="s">
        <v>36</v>
      </c>
    </row>
    <row r="13" spans="1:11" x14ac:dyDescent="0.25">
      <c r="A13" s="13" t="s">
        <v>37</v>
      </c>
      <c r="B13" s="2" t="s">
        <v>38</v>
      </c>
      <c r="C13" s="2" t="s">
        <v>39</v>
      </c>
      <c r="D13" s="2" t="s">
        <v>40</v>
      </c>
      <c r="E13" s="2" t="s">
        <v>39</v>
      </c>
      <c r="F13" s="2" t="s">
        <v>41</v>
      </c>
      <c r="G13" s="2" t="s">
        <v>39</v>
      </c>
      <c r="H13" s="2" t="s">
        <v>40</v>
      </c>
      <c r="I13" s="2" t="s">
        <v>40</v>
      </c>
      <c r="J13" s="2" t="s">
        <v>40</v>
      </c>
      <c r="K13" s="2" t="s">
        <v>41</v>
      </c>
    </row>
    <row r="18" spans="2:11" x14ac:dyDescent="0.25">
      <c r="B18" s="32" t="s">
        <v>45</v>
      </c>
      <c r="C18" s="32"/>
      <c r="D18" s="32"/>
      <c r="F18" s="33" t="s">
        <v>47</v>
      </c>
      <c r="G18" s="33"/>
      <c r="H18" s="33"/>
      <c r="I18" s="32" t="s">
        <v>45</v>
      </c>
      <c r="J18" s="32"/>
      <c r="K18" s="32"/>
    </row>
    <row r="19" spans="2:11" x14ac:dyDescent="0.25">
      <c r="B19" s="32" t="s">
        <v>49</v>
      </c>
      <c r="C19" s="32"/>
      <c r="D19" s="32"/>
      <c r="F19" s="33" t="s">
        <v>48</v>
      </c>
      <c r="G19" s="33"/>
      <c r="H19" s="33"/>
      <c r="I19" s="32" t="s">
        <v>46</v>
      </c>
      <c r="J19" s="32"/>
      <c r="K19" s="32"/>
    </row>
    <row r="20" spans="2:11" x14ac:dyDescent="0.25">
      <c r="C20" s="2" t="s">
        <v>3</v>
      </c>
      <c r="D20" s="4" t="str">
        <f>HLOOKUP(HLOOKUP(C20,A1:K3,2,0),A5:K6,2,0)</f>
        <v>Prof. komal</v>
      </c>
      <c r="G20" s="2" t="s">
        <v>13</v>
      </c>
      <c r="H20" s="11" t="str">
        <f>HLOOKUP(G20,A9:K10,2,0)</f>
        <v>Maths</v>
      </c>
      <c r="J20" s="14" t="s">
        <v>9</v>
      </c>
      <c r="K20" s="12" t="str">
        <f>HLOOKUP(HLOOKUP(HLOOKUP(J20,A1:K3,2,0),A9:K10,2,0),A12:K13,2,0)</f>
        <v>1 years</v>
      </c>
    </row>
  </sheetData>
  <mergeCells count="6">
    <mergeCell ref="I18:K18"/>
    <mergeCell ref="I19:K19"/>
    <mergeCell ref="F18:H18"/>
    <mergeCell ref="F19:H19"/>
    <mergeCell ref="B19:D19"/>
    <mergeCell ref="B18:D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3634-3F8A-4981-A91E-CA94B7DA3D22}">
  <dimension ref="A1:K27"/>
  <sheetViews>
    <sheetView workbookViewId="0">
      <selection activeCell="K23" sqref="K23"/>
    </sheetView>
  </sheetViews>
  <sheetFormatPr defaultRowHeight="13.8" x14ac:dyDescent="0.25"/>
  <cols>
    <col min="1" max="1" width="13.59765625" bestFit="1" customWidth="1"/>
    <col min="3" max="3" width="13.5" bestFit="1" customWidth="1"/>
    <col min="6" max="6" width="9.69921875" bestFit="1" customWidth="1"/>
    <col min="7" max="7" width="9.19921875" bestFit="1" customWidth="1"/>
    <col min="8" max="8" width="8" bestFit="1" customWidth="1"/>
    <col min="9" max="9" width="10.796875" bestFit="1" customWidth="1"/>
  </cols>
  <sheetData>
    <row r="1" spans="1:11" x14ac:dyDescent="0.25">
      <c r="A1" s="13" t="s">
        <v>28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29</v>
      </c>
    </row>
    <row r="2" spans="1:11" x14ac:dyDescent="0.25">
      <c r="A2" s="13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30</v>
      </c>
    </row>
    <row r="3" spans="1:11" x14ac:dyDescent="0.25">
      <c r="A3" s="13" t="s">
        <v>1</v>
      </c>
      <c r="B3" s="2" t="s">
        <v>20</v>
      </c>
      <c r="C3" s="2" t="s">
        <v>5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27</v>
      </c>
    </row>
    <row r="5" spans="1:11" x14ac:dyDescent="0.25">
      <c r="A5" s="13" t="s">
        <v>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30</v>
      </c>
    </row>
    <row r="6" spans="1:11" x14ac:dyDescent="0.25">
      <c r="A6" s="13" t="s">
        <v>31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</row>
    <row r="9" spans="1:11" x14ac:dyDescent="0.25">
      <c r="A9" s="24" t="s">
        <v>64</v>
      </c>
      <c r="B9" s="21"/>
      <c r="C9" s="21"/>
      <c r="E9" s="25" t="s">
        <v>65</v>
      </c>
      <c r="F9" s="25"/>
      <c r="G9" s="25"/>
    </row>
    <row r="10" spans="1:11" x14ac:dyDescent="0.25">
      <c r="A10" s="22"/>
      <c r="B10" s="22"/>
      <c r="C10" s="22"/>
      <c r="E10" s="25"/>
      <c r="F10" s="25"/>
      <c r="G10" s="25"/>
    </row>
    <row r="11" spans="1:11" x14ac:dyDescent="0.25">
      <c r="A11" s="3" t="s">
        <v>31</v>
      </c>
      <c r="B11" s="3" t="s">
        <v>0</v>
      </c>
      <c r="C11" s="3" t="s">
        <v>32</v>
      </c>
      <c r="E11" s="3" t="s">
        <v>32</v>
      </c>
      <c r="F11" s="3" t="s">
        <v>37</v>
      </c>
      <c r="G11" s="5" t="s">
        <v>50</v>
      </c>
    </row>
    <row r="12" spans="1:11" x14ac:dyDescent="0.25">
      <c r="A12" s="2" t="s">
        <v>53</v>
      </c>
      <c r="B12" s="2" t="s">
        <v>11</v>
      </c>
      <c r="C12" s="2" t="s">
        <v>33</v>
      </c>
      <c r="E12" s="2" t="s">
        <v>33</v>
      </c>
      <c r="F12" s="2" t="s">
        <v>38</v>
      </c>
      <c r="G12" s="2">
        <v>10</v>
      </c>
      <c r="I12" s="38" t="s">
        <v>70</v>
      </c>
      <c r="J12" s="40"/>
      <c r="K12" s="40"/>
    </row>
    <row r="13" spans="1:11" x14ac:dyDescent="0.25">
      <c r="A13" s="2" t="s">
        <v>54</v>
      </c>
      <c r="B13" s="2" t="s">
        <v>12</v>
      </c>
      <c r="C13" s="2" t="s">
        <v>34</v>
      </c>
      <c r="E13" s="2" t="s">
        <v>34</v>
      </c>
      <c r="F13" s="2" t="s">
        <v>39</v>
      </c>
      <c r="G13" s="2">
        <v>12</v>
      </c>
      <c r="I13" s="41"/>
      <c r="J13" s="41"/>
      <c r="K13" s="41"/>
    </row>
    <row r="14" spans="1:11" x14ac:dyDescent="0.25">
      <c r="A14" s="2" t="s">
        <v>55</v>
      </c>
      <c r="B14" s="2" t="s">
        <v>13</v>
      </c>
      <c r="C14" s="2" t="s">
        <v>33</v>
      </c>
      <c r="E14" s="2" t="s">
        <v>33</v>
      </c>
      <c r="F14" s="2" t="s">
        <v>40</v>
      </c>
      <c r="G14" s="2">
        <v>15</v>
      </c>
      <c r="I14" s="32" t="s">
        <v>46</v>
      </c>
      <c r="J14" s="32"/>
      <c r="K14" s="32"/>
    </row>
    <row r="15" spans="1:11" x14ac:dyDescent="0.25">
      <c r="A15" s="2" t="s">
        <v>56</v>
      </c>
      <c r="B15" s="2" t="s">
        <v>14</v>
      </c>
      <c r="C15" s="2" t="s">
        <v>35</v>
      </c>
      <c r="E15" s="2" t="s">
        <v>35</v>
      </c>
      <c r="F15" s="2" t="s">
        <v>39</v>
      </c>
      <c r="G15" s="2">
        <v>17</v>
      </c>
      <c r="J15" s="2" t="s">
        <v>3</v>
      </c>
      <c r="K15" s="15" t="str">
        <f>VLOOKUP(VLOOKUP(HLOOKUP(HLOOKUP(J15,A1:K3,2,0),A5:K6,2,0),A11:C21,3,0),E11:G21,2,0)</f>
        <v>6 Months</v>
      </c>
    </row>
    <row r="16" spans="1:11" x14ac:dyDescent="0.25">
      <c r="A16" s="2" t="s">
        <v>57</v>
      </c>
      <c r="B16" s="2" t="s">
        <v>15</v>
      </c>
      <c r="C16" s="2" t="s">
        <v>36</v>
      </c>
      <c r="E16" s="2" t="s">
        <v>36</v>
      </c>
      <c r="F16" s="2" t="s">
        <v>41</v>
      </c>
      <c r="G16" s="2">
        <v>24</v>
      </c>
    </row>
    <row r="17" spans="1:11" x14ac:dyDescent="0.25">
      <c r="A17" s="2" t="s">
        <v>58</v>
      </c>
      <c r="B17" s="2" t="s">
        <v>16</v>
      </c>
      <c r="C17" s="2" t="s">
        <v>35</v>
      </c>
      <c r="E17" s="2" t="s">
        <v>35</v>
      </c>
      <c r="F17" s="2" t="s">
        <v>39</v>
      </c>
      <c r="G17" s="2">
        <v>98</v>
      </c>
      <c r="I17" s="34" t="s">
        <v>68</v>
      </c>
      <c r="J17" s="35"/>
      <c r="K17" s="35"/>
    </row>
    <row r="18" spans="1:11" x14ac:dyDescent="0.25">
      <c r="A18" s="2" t="s">
        <v>59</v>
      </c>
      <c r="B18" s="2" t="s">
        <v>17</v>
      </c>
      <c r="C18" s="2" t="s">
        <v>34</v>
      </c>
      <c r="E18" s="2" t="s">
        <v>34</v>
      </c>
      <c r="F18" s="2" t="s">
        <v>40</v>
      </c>
      <c r="G18" s="2">
        <v>76</v>
      </c>
      <c r="I18" s="36"/>
      <c r="J18" s="36"/>
      <c r="K18" s="36"/>
    </row>
    <row r="19" spans="1:11" x14ac:dyDescent="0.25">
      <c r="A19" s="2" t="s">
        <v>60</v>
      </c>
      <c r="B19" s="2" t="s">
        <v>18</v>
      </c>
      <c r="C19" s="2" t="s">
        <v>33</v>
      </c>
      <c r="E19" s="2" t="s">
        <v>33</v>
      </c>
      <c r="F19" s="2" t="s">
        <v>40</v>
      </c>
      <c r="G19" s="2">
        <v>42</v>
      </c>
      <c r="I19" s="33" t="s">
        <v>48</v>
      </c>
      <c r="J19" s="33"/>
      <c r="K19" s="33"/>
    </row>
    <row r="20" spans="1:11" x14ac:dyDescent="0.25">
      <c r="A20" s="2" t="s">
        <v>61</v>
      </c>
      <c r="B20" s="2" t="s">
        <v>19</v>
      </c>
      <c r="C20" s="2" t="s">
        <v>34</v>
      </c>
      <c r="E20" s="2" t="s">
        <v>34</v>
      </c>
      <c r="F20" s="2" t="s">
        <v>40</v>
      </c>
      <c r="G20" s="2">
        <v>12</v>
      </c>
      <c r="J20" s="2" t="s">
        <v>15</v>
      </c>
      <c r="K20" s="15" t="str">
        <f>VLOOKUP(J20,B11:C21,2,0)</f>
        <v>Sanskrit</v>
      </c>
    </row>
    <row r="21" spans="1:11" x14ac:dyDescent="0.25">
      <c r="A21" s="2" t="s">
        <v>62</v>
      </c>
      <c r="B21" s="2" t="s">
        <v>30</v>
      </c>
      <c r="C21" s="2" t="s">
        <v>36</v>
      </c>
      <c r="E21" s="2" t="s">
        <v>36</v>
      </c>
      <c r="F21" s="2" t="s">
        <v>41</v>
      </c>
      <c r="G21" s="2">
        <v>43</v>
      </c>
    </row>
    <row r="24" spans="1:11" x14ac:dyDescent="0.25">
      <c r="G24" s="37" t="s">
        <v>45</v>
      </c>
      <c r="H24" s="38"/>
      <c r="I24" s="38"/>
    </row>
    <row r="25" spans="1:11" x14ac:dyDescent="0.25">
      <c r="G25" s="39"/>
      <c r="H25" s="39"/>
      <c r="I25" s="39"/>
    </row>
    <row r="26" spans="1:11" x14ac:dyDescent="0.25">
      <c r="G26" s="32" t="s">
        <v>49</v>
      </c>
      <c r="H26" s="32"/>
      <c r="I26" s="32"/>
    </row>
    <row r="27" spans="1:11" x14ac:dyDescent="0.25">
      <c r="H27" s="2" t="s">
        <v>6</v>
      </c>
      <c r="I27" s="15" t="str">
        <f>HLOOKUP(HLOOKUP(H27,A1:K3,2,0),A5:K6,2,0)</f>
        <v>DR. Anuj</v>
      </c>
    </row>
  </sheetData>
  <mergeCells count="8">
    <mergeCell ref="I19:K19"/>
    <mergeCell ref="I17:K18"/>
    <mergeCell ref="G26:I26"/>
    <mergeCell ref="G24:I25"/>
    <mergeCell ref="A9:C10"/>
    <mergeCell ref="E9:G10"/>
    <mergeCell ref="I14:K14"/>
    <mergeCell ref="I12:K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6239-DAEE-4B00-81E6-D72EE8091408}">
  <dimension ref="A1:L21"/>
  <sheetViews>
    <sheetView workbookViewId="0">
      <selection activeCell="M4" sqref="M4"/>
    </sheetView>
  </sheetViews>
  <sheetFormatPr defaultRowHeight="13.8" x14ac:dyDescent="0.25"/>
  <cols>
    <col min="1" max="1" width="17.09765625" bestFit="1" customWidth="1"/>
    <col min="3" max="3" width="12" bestFit="1" customWidth="1"/>
    <col min="7" max="7" width="13.59765625" bestFit="1" customWidth="1"/>
    <col min="8" max="8" width="8" bestFit="1" customWidth="1"/>
    <col min="11" max="11" width="10.09765625" bestFit="1" customWidth="1"/>
  </cols>
  <sheetData>
    <row r="1" spans="1:12" x14ac:dyDescent="0.25">
      <c r="A1" s="20" t="s">
        <v>66</v>
      </c>
      <c r="B1" s="21"/>
      <c r="C1" s="21"/>
      <c r="F1" s="23" t="s">
        <v>63</v>
      </c>
      <c r="G1" s="21"/>
      <c r="I1" s="46" t="s">
        <v>51</v>
      </c>
      <c r="J1" s="47"/>
      <c r="K1" s="47"/>
    </row>
    <row r="2" spans="1:12" x14ac:dyDescent="0.25">
      <c r="A2" s="22"/>
      <c r="B2" s="22"/>
      <c r="C2" s="22"/>
      <c r="F2" s="22"/>
      <c r="G2" s="22"/>
      <c r="I2" s="48"/>
      <c r="J2" s="48"/>
      <c r="K2" s="48"/>
    </row>
    <row r="3" spans="1:12" ht="17.399999999999999" x14ac:dyDescent="0.3">
      <c r="A3" s="6" t="s">
        <v>28</v>
      </c>
      <c r="B3" s="6" t="s">
        <v>0</v>
      </c>
      <c r="C3" s="6" t="s">
        <v>1</v>
      </c>
      <c r="F3" s="3" t="s">
        <v>0</v>
      </c>
      <c r="G3" s="3" t="s">
        <v>31</v>
      </c>
      <c r="I3" s="53" t="s">
        <v>49</v>
      </c>
      <c r="J3" s="53"/>
      <c r="K3" s="53"/>
    </row>
    <row r="4" spans="1:12" ht="16.8" x14ac:dyDescent="0.25">
      <c r="A4" s="7" t="s">
        <v>2</v>
      </c>
      <c r="B4" s="7" t="s">
        <v>11</v>
      </c>
      <c r="C4" s="7" t="s">
        <v>20</v>
      </c>
      <c r="F4" s="2" t="s">
        <v>11</v>
      </c>
      <c r="G4" s="2" t="s">
        <v>53</v>
      </c>
      <c r="J4" s="7" t="s">
        <v>8</v>
      </c>
      <c r="K4" s="17" t="str">
        <f>VLOOKUP(VLOOKUP(J4,A3:C13,2,0),F3:G13,2,0)</f>
        <v>DR. Rinki</v>
      </c>
    </row>
    <row r="5" spans="1:12" ht="16.8" x14ac:dyDescent="0.25">
      <c r="A5" s="7" t="s">
        <v>3</v>
      </c>
      <c r="B5" s="7" t="s">
        <v>12</v>
      </c>
      <c r="C5" s="7" t="s">
        <v>5</v>
      </c>
      <c r="F5" s="2" t="s">
        <v>12</v>
      </c>
      <c r="G5" s="2" t="s">
        <v>54</v>
      </c>
      <c r="I5" t="s">
        <v>67</v>
      </c>
    </row>
    <row r="6" spans="1:12" ht="16.8" x14ac:dyDescent="0.25">
      <c r="A6" s="7" t="s">
        <v>4</v>
      </c>
      <c r="B6" s="7" t="s">
        <v>13</v>
      </c>
      <c r="C6" s="7" t="s">
        <v>21</v>
      </c>
      <c r="F6" s="2" t="s">
        <v>13</v>
      </c>
      <c r="G6" s="2" t="s">
        <v>55</v>
      </c>
      <c r="I6" s="43" t="s">
        <v>69</v>
      </c>
      <c r="J6" s="43"/>
      <c r="K6" s="43"/>
    </row>
    <row r="7" spans="1:12" ht="16.8" x14ac:dyDescent="0.25">
      <c r="A7" s="7" t="s">
        <v>5</v>
      </c>
      <c r="B7" s="7" t="s">
        <v>14</v>
      </c>
      <c r="C7" s="7" t="s">
        <v>22</v>
      </c>
      <c r="F7" s="2" t="s">
        <v>14</v>
      </c>
      <c r="G7" s="2" t="s">
        <v>56</v>
      </c>
      <c r="I7" s="44"/>
      <c r="J7" s="44"/>
      <c r="K7" s="44"/>
      <c r="L7" s="16"/>
    </row>
    <row r="8" spans="1:12" ht="16.8" x14ac:dyDescent="0.25">
      <c r="A8" s="7" t="s">
        <v>6</v>
      </c>
      <c r="B8" s="7" t="s">
        <v>15</v>
      </c>
      <c r="C8" s="7" t="s">
        <v>23</v>
      </c>
      <c r="F8" s="2" t="s">
        <v>15</v>
      </c>
      <c r="G8" s="2" t="s">
        <v>57</v>
      </c>
      <c r="I8" s="42" t="s">
        <v>46</v>
      </c>
      <c r="J8" s="42"/>
      <c r="K8" s="42"/>
    </row>
    <row r="9" spans="1:12" ht="16.8" x14ac:dyDescent="0.25">
      <c r="A9" s="7" t="s">
        <v>7</v>
      </c>
      <c r="B9" s="7" t="s">
        <v>16</v>
      </c>
      <c r="C9" s="7" t="s">
        <v>24</v>
      </c>
      <c r="F9" s="2" t="s">
        <v>16</v>
      </c>
      <c r="G9" s="2" t="s">
        <v>58</v>
      </c>
      <c r="J9" s="7" t="s">
        <v>9</v>
      </c>
      <c r="K9" s="19" t="str">
        <f>HLOOKUP(HLOOKUP(VLOOKUP(VLOOKUP(J9,A3:C13,2,0),F3:G13,2,0),A16:K18,3,0),A20:K21,2,0)</f>
        <v>1 years</v>
      </c>
    </row>
    <row r="10" spans="1:12" ht="16.8" x14ac:dyDescent="0.25">
      <c r="A10" s="7" t="s">
        <v>8</v>
      </c>
      <c r="B10" s="7" t="s">
        <v>17</v>
      </c>
      <c r="C10" s="7" t="s">
        <v>25</v>
      </c>
      <c r="F10" s="2" t="s">
        <v>17</v>
      </c>
      <c r="G10" s="2" t="s">
        <v>59</v>
      </c>
    </row>
    <row r="11" spans="1:12" ht="16.8" x14ac:dyDescent="0.25">
      <c r="A11" s="7" t="s">
        <v>9</v>
      </c>
      <c r="B11" s="7" t="s">
        <v>18</v>
      </c>
      <c r="C11" s="7" t="s">
        <v>26</v>
      </c>
      <c r="F11" s="2" t="s">
        <v>18</v>
      </c>
      <c r="G11" s="2" t="s">
        <v>60</v>
      </c>
      <c r="I11" s="45" t="s">
        <v>47</v>
      </c>
      <c r="J11" s="45"/>
      <c r="K11" s="45"/>
    </row>
    <row r="12" spans="1:12" ht="16.8" customHeight="1" x14ac:dyDescent="0.25">
      <c r="A12" s="7" t="s">
        <v>10</v>
      </c>
      <c r="B12" s="7" t="s">
        <v>19</v>
      </c>
      <c r="C12" s="7" t="s">
        <v>27</v>
      </c>
      <c r="F12" s="2" t="s">
        <v>19</v>
      </c>
      <c r="G12" s="2" t="s">
        <v>61</v>
      </c>
      <c r="I12" s="49"/>
      <c r="J12" s="49"/>
      <c r="K12" s="49"/>
    </row>
    <row r="13" spans="1:12" ht="16.8" x14ac:dyDescent="0.25">
      <c r="A13" s="7" t="s">
        <v>29</v>
      </c>
      <c r="B13" s="7" t="s">
        <v>30</v>
      </c>
      <c r="C13" s="7" t="s">
        <v>27</v>
      </c>
      <c r="F13" s="2" t="s">
        <v>30</v>
      </c>
      <c r="G13" s="2" t="s">
        <v>62</v>
      </c>
      <c r="I13" s="50" t="s">
        <v>48</v>
      </c>
      <c r="J13" s="51"/>
      <c r="K13" s="52"/>
    </row>
    <row r="14" spans="1:12" x14ac:dyDescent="0.25">
      <c r="J14" s="2" t="s">
        <v>17</v>
      </c>
      <c r="K14" s="18" t="str">
        <f>HLOOKUP(J14,A17:K18,2,0)</f>
        <v>English</v>
      </c>
    </row>
    <row r="16" spans="1:12" x14ac:dyDescent="0.25">
      <c r="A16" s="13" t="s">
        <v>31</v>
      </c>
      <c r="B16" s="2" t="s">
        <v>53</v>
      </c>
      <c r="C16" s="2" t="s">
        <v>54</v>
      </c>
      <c r="D16" s="2" t="s">
        <v>55</v>
      </c>
      <c r="E16" s="2" t="s">
        <v>56</v>
      </c>
      <c r="F16" s="2" t="s">
        <v>57</v>
      </c>
      <c r="G16" s="2" t="s">
        <v>58</v>
      </c>
      <c r="H16" s="2" t="s">
        <v>59</v>
      </c>
      <c r="I16" s="2" t="s">
        <v>60</v>
      </c>
      <c r="J16" s="2" t="s">
        <v>61</v>
      </c>
      <c r="K16" s="2" t="s">
        <v>62</v>
      </c>
    </row>
    <row r="17" spans="1:11" x14ac:dyDescent="0.25">
      <c r="A17" s="13" t="s">
        <v>0</v>
      </c>
      <c r="B17" s="2" t="s">
        <v>11</v>
      </c>
      <c r="C17" s="2" t="s">
        <v>12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19</v>
      </c>
      <c r="K17" s="2" t="s">
        <v>30</v>
      </c>
    </row>
    <row r="18" spans="1:11" x14ac:dyDescent="0.25">
      <c r="A18" s="13" t="s">
        <v>32</v>
      </c>
      <c r="B18" s="2" t="s">
        <v>33</v>
      </c>
      <c r="C18" s="2" t="s">
        <v>34</v>
      </c>
      <c r="D18" s="2" t="s">
        <v>33</v>
      </c>
      <c r="E18" s="2" t="s">
        <v>35</v>
      </c>
      <c r="F18" s="2" t="s">
        <v>36</v>
      </c>
      <c r="G18" s="2" t="s">
        <v>35</v>
      </c>
      <c r="H18" s="2" t="s">
        <v>34</v>
      </c>
      <c r="I18" s="2" t="s">
        <v>33</v>
      </c>
      <c r="J18" s="2" t="s">
        <v>34</v>
      </c>
      <c r="K18" s="2" t="s">
        <v>36</v>
      </c>
    </row>
    <row r="20" spans="1:11" x14ac:dyDescent="0.25">
      <c r="A20" s="13" t="s">
        <v>32</v>
      </c>
      <c r="B20" s="2" t="s">
        <v>33</v>
      </c>
      <c r="C20" s="2" t="s">
        <v>34</v>
      </c>
      <c r="D20" s="2" t="s">
        <v>33</v>
      </c>
      <c r="E20" s="2" t="s">
        <v>35</v>
      </c>
      <c r="F20" s="2" t="s">
        <v>36</v>
      </c>
      <c r="G20" s="2" t="s">
        <v>35</v>
      </c>
      <c r="H20" s="2" t="s">
        <v>34</v>
      </c>
      <c r="I20" s="2" t="s">
        <v>33</v>
      </c>
      <c r="J20" s="2" t="s">
        <v>34</v>
      </c>
      <c r="K20" s="2" t="s">
        <v>36</v>
      </c>
    </row>
    <row r="21" spans="1:11" x14ac:dyDescent="0.25">
      <c r="A21" s="13" t="s">
        <v>37</v>
      </c>
      <c r="B21" s="2" t="s">
        <v>38</v>
      </c>
      <c r="C21" s="2" t="s">
        <v>39</v>
      </c>
      <c r="D21" s="2" t="s">
        <v>40</v>
      </c>
      <c r="E21" s="2" t="s">
        <v>39</v>
      </c>
      <c r="F21" s="2" t="s">
        <v>41</v>
      </c>
      <c r="G21" s="2" t="s">
        <v>39</v>
      </c>
      <c r="H21" s="2" t="s">
        <v>40</v>
      </c>
      <c r="I21" s="2" t="s">
        <v>40</v>
      </c>
      <c r="J21" s="2" t="s">
        <v>40</v>
      </c>
      <c r="K21" s="2" t="s">
        <v>41</v>
      </c>
    </row>
  </sheetData>
  <mergeCells count="8">
    <mergeCell ref="I3:K3"/>
    <mergeCell ref="I1:K2"/>
    <mergeCell ref="I11:K12"/>
    <mergeCell ref="I13:K13"/>
    <mergeCell ref="A1:C2"/>
    <mergeCell ref="F1:G2"/>
    <mergeCell ref="I8:K8"/>
    <mergeCell ref="I6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Kumar</dc:creator>
  <cp:lastModifiedBy>Ranjeet Kumar</cp:lastModifiedBy>
  <dcterms:created xsi:type="dcterms:W3CDTF">2025-11-10T05:54:30Z</dcterms:created>
  <dcterms:modified xsi:type="dcterms:W3CDTF">2025-11-15T15:53:05Z</dcterms:modified>
</cp:coreProperties>
</file>